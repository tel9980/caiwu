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  <Override PartName="/xl/drawings/drawing_wm17.xml" ContentType="application/vnd.openxmlformats-officedocument.drawing+xml"/>
  <Override PartName="/xl/drawings/drawing_wm18.xml" ContentType="application/vnd.openxmlformats-officedocument.drawing+xml"/>
  <Override PartName="/xl/drawings/drawing_wm19.xml" ContentType="application/vnd.openxmlformats-officedocument.drawing+xml"/>
  <Override PartName="/xl/drawings/drawing_wm20.xml" ContentType="application/vnd.openxmlformats-officedocument.drawing+xml"/>
  <Override PartName="/xl/drawings/drawing_wm21.xml" ContentType="application/vnd.openxmlformats-officedocument.drawing+xml"/>
  <Override PartName="/xl/drawings/drawing_wm22.xml" ContentType="application/vnd.openxmlformats-officedocument.drawing+xml"/>
  <Override PartName="/xl/drawings/drawing_wm23.xml" ContentType="application/vnd.openxmlformats-officedocument.drawing+xml"/>
  <Override PartName="/xl/drawings/drawing_wm24.xml" ContentType="application/vnd.openxmlformats-officedocument.drawing+xml"/>
  <Override PartName="/xl/drawings/drawing_wm25.xml" ContentType="application/vnd.openxmlformats-officedocument.drawing+xml"/>
  <Override PartName="/xl/drawings/drawing_wm26.xml" ContentType="application/vnd.openxmlformats-officedocument.drawing+xml"/>
  <Override PartName="/xl/drawings/drawing_wm27.xml" ContentType="application/vnd.openxmlformats-officedocument.drawing+xml"/>
  <Override PartName="/xl/drawings/drawing_wm28.xml" ContentType="application/vnd.openxmlformats-officedocument.drawing+xml"/>
  <Override PartName="/xl/drawings/drawing_wm29.xml" ContentType="application/vnd.openxmlformats-officedocument.drawing+xml"/>
  <Override PartName="/xl/drawings/drawing_wm30.xml" ContentType="application/vnd.openxmlformats-officedocument.drawing+xml"/>
  <Override PartName="/xl/drawings/drawing_wm3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首页仪表盘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基础设置" sheetId="3" state="visible" r:id="rId3"/>
    <sheet xmlns:r="http://schemas.openxmlformats.org/officeDocument/2006/relationships" name="加工订单" sheetId="4" state="visible" r:id="rId4"/>
    <sheet xmlns:r="http://schemas.openxmlformats.org/officeDocument/2006/relationships" name="生产进度跟踪" sheetId="5" state="visible" r:id="rId5"/>
    <sheet xmlns:r="http://schemas.openxmlformats.org/officeDocument/2006/relationships" name="收款记录" sheetId="6" state="visible" r:id="rId6"/>
    <sheet xmlns:r="http://schemas.openxmlformats.org/officeDocument/2006/relationships" name="付款记录" sheetId="7" state="visible" r:id="rId7"/>
    <sheet xmlns:r="http://schemas.openxmlformats.org/officeDocument/2006/relationships" name="资金汇总" sheetId="8" state="visible" r:id="rId8"/>
    <sheet xmlns:r="http://schemas.openxmlformats.org/officeDocument/2006/relationships" name="G银行" sheetId="9" state="visible" r:id="rId9"/>
    <sheet xmlns:r="http://schemas.openxmlformats.org/officeDocument/2006/relationships" name="N银行微信" sheetId="10" state="visible" r:id="rId10"/>
    <sheet xmlns:r="http://schemas.openxmlformats.org/officeDocument/2006/relationships" name="委外加工" sheetId="11" state="visible" r:id="rId11"/>
    <sheet xmlns:r="http://schemas.openxmlformats.org/officeDocument/2006/relationships" name="材料库存" sheetId="12" state="visible" r:id="rId12"/>
    <sheet xmlns:r="http://schemas.openxmlformats.org/officeDocument/2006/relationships" name="工资表" sheetId="13" state="visible" r:id="rId13"/>
    <sheet xmlns:r="http://schemas.openxmlformats.org/officeDocument/2006/relationships" name="费用明细" sheetId="14" state="visible" r:id="rId14"/>
    <sheet xmlns:r="http://schemas.openxmlformats.org/officeDocument/2006/relationships" name="客户对账单" sheetId="15" state="visible" r:id="rId15"/>
    <sheet xmlns:r="http://schemas.openxmlformats.org/officeDocument/2006/relationships" name="供应商对账单" sheetId="16" state="visible" r:id="rId16"/>
    <sheet xmlns:r="http://schemas.openxmlformats.org/officeDocument/2006/relationships" name="税务管理" sheetId="17" state="visible" r:id="rId17"/>
    <sheet xmlns:r="http://schemas.openxmlformats.org/officeDocument/2006/relationships" name="发票管理" sheetId="18" state="visible" r:id="rId18"/>
    <sheet xmlns:r="http://schemas.openxmlformats.org/officeDocument/2006/relationships" name="利润表" sheetId="19" state="visible" r:id="rId19"/>
    <sheet xmlns:r="http://schemas.openxmlformats.org/officeDocument/2006/relationships" name="资产负债表" sheetId="20" state="visible" r:id="rId20"/>
    <sheet xmlns:r="http://schemas.openxmlformats.org/officeDocument/2006/relationships" name="图表分析" sheetId="21" state="visible" r:id="rId21"/>
    <sheet xmlns:r="http://schemas.openxmlformats.org/officeDocument/2006/relationships" name="月度汇总" sheetId="22" state="visible" r:id="rId22"/>
    <sheet xmlns:r="http://schemas.openxmlformats.org/officeDocument/2006/relationships" name="年度对比分析" sheetId="23" state="visible" r:id="rId23"/>
    <sheet xmlns:r="http://schemas.openxmlformats.org/officeDocument/2006/relationships" name="数据校验" sheetId="24" state="visible" r:id="rId24"/>
    <sheet xmlns:r="http://schemas.openxmlformats.org/officeDocument/2006/relationships" name="打印模板" sheetId="25" state="visible" r:id="rId25"/>
    <sheet xmlns:r="http://schemas.openxmlformats.org/officeDocument/2006/relationships" name="应收应付" sheetId="26" state="visible" r:id="rId26"/>
    <sheet xmlns:r="http://schemas.openxmlformats.org/officeDocument/2006/relationships" name="会计凭证" sheetId="27" state="visible" r:id="rId27"/>
    <sheet xmlns:r="http://schemas.openxmlformats.org/officeDocument/2006/relationships" name="银行对账" sheetId="28" state="visible" r:id="rId28"/>
    <sheet xmlns:r="http://schemas.openxmlformats.org/officeDocument/2006/relationships" name="订单成本分析" sheetId="29" state="visible" r:id="rId29"/>
    <sheet xmlns:r="http://schemas.openxmlformats.org/officeDocument/2006/relationships" name="财务仪表盘" sheetId="30" state="visible" r:id="rId30"/>
    <sheet xmlns:r="http://schemas.openxmlformats.org/officeDocument/2006/relationships" name="会计科目表" sheetId="31" state="visible" r:id="rId31"/>
  </sheets>
  <definedNames>
    <definedName name="_xlnm.Print_Titles" localSheetId="18">'利润表'!$3:$4</definedName>
    <definedName name="_xlnm.Print_Area" localSheetId="18">'利润表'!$A$1:$D$20</definedName>
    <definedName name="_xlnm.Print_Titles" localSheetId="19">'资产负债表'!$3:$3</definedName>
    <definedName name="_xlnm.Print_Area" localSheetId="19">'资产负债表'!$A$1:$F$25</definedName>
    <definedName name="_xlnm.Print_Titles" localSheetId="24">'打印模板'!$5:$5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83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2F5496"/>
      <sz val="22"/>
    </font>
    <font>
      <name val="Noto Sans CJK SC"/>
      <family val="2"/>
      <color rgb="FF666666"/>
      <sz val="12"/>
    </font>
    <font>
      <name val="微软雅黑"/>
      <charset val="1"/>
      <family val="0"/>
      <color rgb="FF666666"/>
      <sz val="12"/>
    </font>
    <font>
      <name val="Noto Sans CJK SC"/>
      <family val="2"/>
      <b val="1"/>
      <color rgb="FFFFFFFF"/>
      <sz val="10"/>
    </font>
    <font>
      <name val="微软雅黑"/>
      <charset val="1"/>
      <family val="0"/>
      <b val="1"/>
      <color rgb="FFFFFFFF"/>
      <sz val="10"/>
    </font>
    <font>
      <name val="微软雅黑"/>
      <charset val="1"/>
      <family val="0"/>
      <b val="1"/>
      <color rgb="FF2F5496"/>
      <sz val="18"/>
    </font>
    <font>
      <name val="微软雅黑"/>
      <charset val="1"/>
      <family val="0"/>
      <b val="1"/>
      <color rgb="FFC00000"/>
      <sz val="18"/>
    </font>
    <font>
      <name val="微软雅黑"/>
      <charset val="1"/>
      <family val="0"/>
      <b val="1"/>
      <color rgb="FF548235"/>
      <sz val="18"/>
    </font>
    <font>
      <name val="微软雅黑"/>
      <charset val="1"/>
      <family val="0"/>
      <b val="1"/>
      <color rgb="FFED7D31"/>
      <sz val="18"/>
    </font>
    <font>
      <name val="微软雅黑"/>
      <charset val="1"/>
      <family val="0"/>
      <b val="1"/>
      <color rgb="FFC00000"/>
      <sz val="13"/>
    </font>
    <font>
      <name val="Noto Sans CJK SC"/>
      <family val="2"/>
      <b val="1"/>
      <color rgb="FFC00000"/>
      <sz val="13"/>
    </font>
    <font>
      <name val="Noto Sans CJK SC"/>
      <family val="2"/>
      <sz val="10"/>
    </font>
    <font>
      <name val="Noto Sans CJK SC"/>
      <family val="2"/>
      <color rgb="FF000000"/>
      <sz val="11"/>
    </font>
    <font>
      <name val="微软雅黑"/>
      <charset val="1"/>
      <family val="0"/>
      <b val="1"/>
      <color rgb="FFED7D31"/>
      <sz val="13"/>
    </font>
    <font>
      <name val="Noto Sans CJK SC"/>
      <family val="2"/>
      <b val="1"/>
      <color rgb="FFED7D31"/>
      <sz val="13"/>
    </font>
    <font>
      <name val="微软雅黑"/>
      <charset val="1"/>
      <family val="0"/>
      <b val="1"/>
      <color rgb="FF2F5496"/>
      <sz val="13"/>
    </font>
    <font>
      <name val="Noto Sans CJK SC"/>
      <family val="2"/>
      <b val="1"/>
      <color rgb="FF2F5496"/>
      <sz val="13"/>
    </font>
    <font>
      <name val="微软雅黑"/>
      <charset val="1"/>
      <family val="0"/>
      <sz val="10"/>
    </font>
    <font>
      <name val="Noto Sans CJK SC"/>
      <family val="2"/>
      <b val="1"/>
      <color rgb="FFED7D31"/>
      <sz val="10"/>
    </font>
    <font>
      <name val="微软雅黑"/>
      <charset val="1"/>
      <family val="0"/>
      <b val="1"/>
      <color rgb="FFFFFFFF"/>
      <sz val="13"/>
    </font>
    <font>
      <name val="Noto Sans CJK SC"/>
      <family val="2"/>
      <b val="1"/>
      <color rgb="FFFFFFFF"/>
      <sz val="13"/>
    </font>
    <font>
      <name val="微软雅黑"/>
      <charset val="1"/>
      <family val="0"/>
      <b val="1"/>
      <color rgb="FF7030A0"/>
      <sz val="11"/>
    </font>
    <font>
      <name val="Noto Sans CJK SC"/>
      <family val="2"/>
      <b val="1"/>
      <color rgb="FF7030A0"/>
      <sz val="11"/>
    </font>
    <font>
      <name val="微软雅黑"/>
      <charset val="1"/>
      <family val="0"/>
      <color rgb="FF333333"/>
      <sz val="10"/>
    </font>
    <font>
      <name val="Noto Sans CJK SC"/>
      <family val="2"/>
      <color rgb="FF333333"/>
      <sz val="10"/>
    </font>
    <font>
      <name val="Noto Sans CJK SC"/>
      <family val="2"/>
      <b val="1"/>
      <color rgb="FFC00000"/>
      <sz val="10"/>
    </font>
    <font>
      <name val="微软雅黑"/>
      <charset val="1"/>
      <family val="0"/>
      <b val="1"/>
      <color rgb="FFC00000"/>
      <sz val="10"/>
    </font>
    <font>
      <name val="Consolas"/>
      <charset val="1"/>
      <family val="0"/>
      <color rgb="FF0066CC"/>
      <sz val="9"/>
    </font>
    <font>
      <name val="Noto Sans CJK SC"/>
      <family val="2"/>
      <b val="1"/>
      <color rgb="FF548235"/>
      <sz val="10"/>
    </font>
    <font>
      <name val="Noto Sans CJK SC"/>
      <family val="2"/>
      <b val="1"/>
      <sz val="14"/>
    </font>
    <font>
      <name val="微软雅黑"/>
      <charset val="1"/>
      <family val="0"/>
      <b val="1"/>
      <sz val="14"/>
    </font>
    <font>
      <name val="Noto Sans CJK SC"/>
      <family val="2"/>
      <b val="1"/>
      <color rgb="FF2F5496"/>
      <sz val="11"/>
    </font>
    <font>
      <name val="微软雅黑"/>
      <charset val="1"/>
      <family val="0"/>
      <b val="1"/>
      <color rgb="FF2F5496"/>
      <sz val="11"/>
    </font>
    <font>
      <name val="微软雅黑"/>
      <charset val="1"/>
      <family val="0"/>
      <i val="1"/>
      <color rgb="FFAAAAAA"/>
      <sz val="9"/>
    </font>
    <font>
      <name val="Noto Sans CJK SC"/>
      <family val="2"/>
      <i val="1"/>
      <color rgb="FFAAAAAA"/>
      <sz val="9"/>
    </font>
    <font>
      <name val="微软雅黑"/>
      <charset val="1"/>
      <family val="0"/>
      <color rgb="FFAAAAAA"/>
      <sz val="10"/>
    </font>
    <font>
      <name val="Noto Sans CJK SC"/>
      <family val="2"/>
      <b val="1"/>
      <color rgb="FF2F5496"/>
      <sz val="12"/>
    </font>
    <font>
      <name val="Noto Sans CJK SC"/>
      <family val="2"/>
      <b val="1"/>
      <color rgb="FF008000"/>
      <sz val="10"/>
    </font>
    <font>
      <name val="Noto Sans CJK SC"/>
      <family val="2"/>
      <b val="1"/>
      <sz val="10"/>
    </font>
    <font>
      <name val="微软雅黑"/>
      <charset val="1"/>
      <family val="0"/>
      <b val="1"/>
      <sz val="10"/>
    </font>
    <font>
      <name val="微软雅黑"/>
      <charset val="1"/>
      <family val="0"/>
      <b val="1"/>
      <color rgb="FF2F5496"/>
      <sz val="12"/>
    </font>
    <font>
      <name val="Noto Sans CJK SC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8"/>
    </font>
    <font>
      <name val="Noto Sans CJK SC"/>
      <family val="2"/>
      <b val="1"/>
      <color rgb="FF2F5496"/>
      <sz val="16"/>
    </font>
    <font>
      <name val="Noto Sans CJK SC"/>
      <family val="2"/>
      <sz val="11"/>
    </font>
    <font>
      <name val="微软雅黑"/>
      <charset val="1"/>
      <family val="0"/>
      <sz val="11"/>
    </font>
    <font>
      <name val="Noto Sans CJK SC"/>
      <family val="2"/>
      <color rgb="FF666666"/>
      <sz val="10"/>
    </font>
    <font>
      <name val="微软雅黑"/>
      <charset val="1"/>
      <family val="0"/>
      <color rgb="FF666666"/>
      <sz val="10"/>
    </font>
    <font>
      <name val="微软雅黑"/>
      <charset val="1"/>
      <family val="0"/>
      <b val="1"/>
      <color rgb="FF008000"/>
      <sz val="10"/>
    </font>
    <font>
      <name val="微软雅黑"/>
      <charset val="1"/>
      <family val="0"/>
      <b val="1"/>
      <color rgb="FFFF0000"/>
      <sz val="10"/>
    </font>
    <font>
      <name val="Cambria"/>
      <charset val="1"/>
      <family val="0"/>
      <b val="1"/>
      <color rgb="FF2F5496"/>
      <sz val="12"/>
    </font>
    <font>
      <name val="Noto Sans CJK SC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Noto Sans CJK SC"/>
      <family val="2"/>
      <i val="1"/>
      <color rgb="FF666666"/>
      <sz val="11"/>
    </font>
    <font>
      <name val="Cambria"/>
      <charset val="1"/>
      <family val="0"/>
      <i val="1"/>
      <color rgb="FF666666"/>
      <sz val="11"/>
    </font>
    <font>
      <b val="1"/>
      <color rgb="00FFFFFF"/>
      <sz val="11"/>
    </font>
    <font>
      <b val="1"/>
      <sz val="10"/>
    </font>
    <font>
      <i val="1"/>
      <color rgb="00999999"/>
      <sz val="9"/>
    </font>
    <font>
      <b val="1"/>
      <color rgb="002F5496"/>
      <sz val="12"/>
    </font>
    <font>
      <i val="1"/>
      <color rgb="00666666"/>
      <sz val="9"/>
    </font>
    <font>
      <sz val="10"/>
    </font>
    <font>
      <b val="1"/>
      <sz val="16"/>
    </font>
    <font>
      <b val="1"/>
      <color rgb="00FFFFFF"/>
    </font>
    <font>
      <b val="1"/>
    </font>
    <font>
      <b val="1"/>
      <color rgb="004472C4"/>
      <sz val="12"/>
    </font>
    <font>
      <color rgb="00006100"/>
    </font>
    <font>
      <color rgb="009C0006"/>
    </font>
    <font>
      <b val="1"/>
      <color rgb="0070AD47"/>
      <sz val="12"/>
    </font>
    <font>
      <b val="1"/>
      <color rgb="00006100"/>
    </font>
    <font>
      <b val="1"/>
      <color rgb="009C0006"/>
    </font>
    <font>
      <color rgb="00FF6600"/>
    </font>
    <font>
      <b val="1"/>
      <color rgb="007030A0"/>
      <sz val="12"/>
    </font>
    <font>
      <b val="1"/>
      <color rgb="00C55A11"/>
      <sz val="12"/>
    </font>
    <font>
      <b val="1"/>
      <sz val="14"/>
    </font>
  </fonts>
  <fills count="24">
    <fill>
      <patternFill/>
    </fill>
    <fill>
      <patternFill patternType="gray125"/>
    </fill>
    <fill>
      <patternFill patternType="solid">
        <fgColor rgb="FF2F5496"/>
        <bgColor rgb="FF4672A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666666"/>
      </patternFill>
    </fill>
    <fill>
      <patternFill patternType="solid">
        <fgColor rgb="FFD6E4F0"/>
        <bgColor rgb="FFD9DEE7"/>
      </patternFill>
    </fill>
    <fill>
      <patternFill patternType="solid">
        <fgColor rgb="FFFCE4EC"/>
        <bgColor rgb="FFFBE5D6"/>
      </patternFill>
    </fill>
    <fill>
      <patternFill patternType="solid">
        <fgColor rgb="FFE2EFDA"/>
        <bgColor rgb="FFD6E4F0"/>
      </patternFill>
    </fill>
    <fill>
      <patternFill patternType="solid">
        <fgColor rgb="FFED7D31"/>
        <bgColor rgb="FFDC853E"/>
      </patternFill>
    </fill>
    <fill>
      <patternFill patternType="solid">
        <fgColor rgb="FFFBE5D6"/>
        <bgColor rgb="FFFCE4EC"/>
      </patternFill>
    </fill>
    <fill>
      <patternFill patternType="solid">
        <fgColor rgb="FFF2F7FB"/>
        <bgColor rgb="FFFFFFFF"/>
      </patternFill>
    </fill>
    <fill>
      <patternFill patternType="solid">
        <fgColor rgb="FF7030A0"/>
        <bgColor rgb="FF725990"/>
      </patternFill>
    </fill>
    <fill>
      <patternFill patternType="solid">
        <fgColor rgb="FFE8D5F5"/>
        <bgColor rgb="FFD9DEE7"/>
      </patternFill>
    </fill>
    <fill>
      <patternFill patternType="solid">
        <fgColor rgb="FFFFF2CC"/>
        <bgColor rgb="FFFBE5D6"/>
      </patternFill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E7E6E6"/>
        <bgColor rgb="00E7E6E6"/>
      </patternFill>
    </fill>
    <fill>
      <patternFill patternType="solid">
        <fgColor rgb="00C55A11"/>
        <bgColor rgb="00C55A11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4" fontId="12" fillId="9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bottom"/>
    </xf>
    <xf numFmtId="4" fontId="0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general" vertical="bottom"/>
    </xf>
    <xf numFmtId="4" fontId="0" fillId="10" borderId="2" applyAlignment="1" pivotButton="0" quotePrefix="0" xfId="0">
      <alignment horizontal="general" vertical="bottom"/>
    </xf>
    <xf numFmtId="0" fontId="16" fillId="1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general" vertical="bottom"/>
    </xf>
    <xf numFmtId="0" fontId="22" fillId="0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general" vertical="bottom"/>
    </xf>
    <xf numFmtId="0" fontId="22" fillId="10" borderId="2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/>
    </xf>
    <xf numFmtId="0" fontId="25" fillId="12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center" vertical="center" wrapText="1"/>
    </xf>
    <xf numFmtId="4" fontId="21" fillId="0" borderId="2" applyAlignment="1" pivotButton="0" quotePrefix="0" xfId="0">
      <alignment horizontal="center" vertical="center" wrapText="1"/>
    </xf>
    <xf numFmtId="4" fontId="21" fillId="10" borderId="2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2" applyAlignment="1" pivotButton="0" quotePrefix="0" xfId="0">
      <alignment horizontal="center" vertical="center" wrapText="1"/>
    </xf>
    <xf numFmtId="0" fontId="41" fillId="10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0" fontId="29" fillId="10" borderId="2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general" vertical="bottom"/>
    </xf>
    <xf numFmtId="4" fontId="43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4" fontId="43" fillId="0" borderId="2" applyAlignment="1" pivotButton="0" quotePrefix="0" xfId="0">
      <alignment horizontal="center" vertical="center" wrapText="1"/>
    </xf>
    <xf numFmtId="4" fontId="43" fillId="10" borderId="2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42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43" fillId="0" borderId="2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9" fontId="0" fillId="0" borderId="2" applyAlignment="1" pivotButton="0" quotePrefix="0" xfId="0">
      <alignment horizontal="general" vertical="bottom"/>
    </xf>
    <xf numFmtId="9" fontId="21" fillId="0" borderId="2" applyAlignment="1" pivotButton="0" quotePrefix="0" xfId="0">
      <alignment horizontal="center" vertical="center" wrapText="1"/>
    </xf>
    <xf numFmtId="9" fontId="21" fillId="10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164" fontId="0" fillId="10" borderId="2" applyAlignment="1" pivotButton="0" quotePrefix="0" xfId="0">
      <alignment horizontal="center" vertical="center" wrapText="1"/>
    </xf>
    <xf numFmtId="164" fontId="43" fillId="0" borderId="2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general" vertical="bottom"/>
    </xf>
    <xf numFmtId="4" fontId="55" fillId="0" borderId="2" applyAlignment="1" pivotButton="0" quotePrefix="0" xfId="0">
      <alignment horizontal="general" vertical="bottom"/>
    </xf>
    <xf numFmtId="4" fontId="56" fillId="0" borderId="2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left" vertical="center"/>
    </xf>
    <xf numFmtId="0" fontId="58" fillId="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general" vertical="bottom"/>
    </xf>
    <xf numFmtId="0" fontId="16" fillId="10" borderId="3" applyAlignment="1" pivotButton="0" quotePrefix="0" xfId="0">
      <alignment horizontal="general" vertical="bottom"/>
    </xf>
    <xf numFmtId="0" fontId="60" fillId="0" borderId="3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0" fillId="10" borderId="3" applyAlignment="1" pivotButton="0" quotePrefix="0" xfId="0">
      <alignment horizontal="general" vertical="bottom"/>
    </xf>
    <xf numFmtId="0" fontId="59" fillId="2" borderId="3" applyAlignment="1" pivotButton="0" quotePrefix="0" xfId="0">
      <alignment horizontal="center" vertical="center"/>
    </xf>
    <xf numFmtId="10" fontId="0" fillId="0" borderId="3" applyAlignment="1" pivotButton="0" quotePrefix="0" xfId="0">
      <alignment horizontal="general" vertical="bottom"/>
    </xf>
    <xf numFmtId="10" fontId="0" fillId="10" borderId="3" applyAlignment="1" pivotButton="0" quotePrefix="0" xfId="0">
      <alignment horizontal="general" vertical="bottom"/>
    </xf>
    <xf numFmtId="10" fontId="61" fillId="0" borderId="3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" fontId="9" fillId="5" borderId="1" applyAlignment="1" pivotButton="0" quotePrefix="0" xfId="0">
      <alignment horizontal="center" vertical="center"/>
    </xf>
    <xf numFmtId="0" fontId="0" fillId="0" borderId="10" pivotButton="0" quotePrefix="0" xfId="0"/>
    <xf numFmtId="4" fontId="10" fillId="6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4" fontId="12" fillId="9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bottom"/>
    </xf>
    <xf numFmtId="4" fontId="0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general" vertical="bottom"/>
    </xf>
    <xf numFmtId="4" fontId="0" fillId="10" borderId="2" applyAlignment="1" pivotButton="0" quotePrefix="0" xfId="0">
      <alignment horizontal="general" vertical="bottom"/>
    </xf>
    <xf numFmtId="0" fontId="16" fillId="1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general" vertical="bottom"/>
    </xf>
    <xf numFmtId="0" fontId="22" fillId="0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general" vertical="bottom"/>
    </xf>
    <xf numFmtId="0" fontId="22" fillId="10" borderId="2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/>
    </xf>
    <xf numFmtId="0" fontId="0" fillId="0" borderId="11" pivotButton="0" quotePrefix="0" xfId="0"/>
    <xf numFmtId="0" fontId="25" fillId="12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31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9" fillId="0" borderId="0" applyAlignment="1" pivotButton="0" quotePrefix="0" xfId="0">
      <alignment horizontal="general" vertical="bottom"/>
    </xf>
    <xf numFmtId="0" fontId="69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center" vertical="center" wrapText="1"/>
    </xf>
    <xf numFmtId="4" fontId="21" fillId="0" borderId="2" applyAlignment="1" pivotButton="0" quotePrefix="0" xfId="0">
      <alignment horizontal="center" vertical="center" wrapText="1"/>
    </xf>
    <xf numFmtId="4" fontId="21" fillId="10" borderId="2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2" applyAlignment="1" pivotButton="0" quotePrefix="0" xfId="0">
      <alignment horizontal="center" vertical="center" wrapText="1"/>
    </xf>
    <xf numFmtId="0" fontId="41" fillId="10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0" fontId="29" fillId="10" borderId="2" applyAlignment="1" pivotButton="0" quotePrefix="0" xfId="0">
      <alignment horizontal="center" vertical="center" wrapText="1"/>
    </xf>
    <xf numFmtId="0" fontId="64" fillId="1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4" fontId="0" fillId="0" borderId="16" applyAlignment="1" pivotButton="0" quotePrefix="0" xfId="0">
      <alignment horizontal="right" vertical="center"/>
    </xf>
    <xf numFmtId="0" fontId="0" fillId="15" borderId="16" applyAlignment="1" pivotButton="0" quotePrefix="0" xfId="0">
      <alignment horizontal="center" vertical="center"/>
    </xf>
    <xf numFmtId="0" fontId="0" fillId="15" borderId="16" applyAlignment="1" pivotButton="0" quotePrefix="0" xfId="0">
      <alignment horizontal="left" vertical="center"/>
    </xf>
    <xf numFmtId="4" fontId="0" fillId="15" borderId="16" applyAlignment="1" pivotButton="0" quotePrefix="0" xfId="0">
      <alignment horizontal="right" vertical="center"/>
    </xf>
    <xf numFmtId="0" fontId="65" fillId="16" borderId="16" applyAlignment="1" pivotButton="0" quotePrefix="0" xfId="0">
      <alignment horizontal="center" vertical="center"/>
    </xf>
    <xf numFmtId="0" fontId="0" fillId="16" borderId="16" pivotButton="0" quotePrefix="0" xfId="0"/>
    <xf numFmtId="4" fontId="65" fillId="16" borderId="16" applyAlignment="1" pivotButton="0" quotePrefix="0" xfId="0">
      <alignment horizontal="right" vertical="center"/>
    </xf>
    <xf numFmtId="0" fontId="66" fillId="0" borderId="0" pivotButton="0" quotePrefix="0" xfId="0"/>
    <xf numFmtId="0" fontId="67" fillId="0" borderId="0" applyAlignment="1" pivotButton="0" quotePrefix="0" xfId="0">
      <alignment horizontal="left" vertical="center"/>
    </xf>
    <xf numFmtId="4" fontId="65" fillId="0" borderId="16" applyAlignment="1" pivotButton="0" quotePrefix="0" xfId="0">
      <alignment horizontal="right" vertical="center"/>
    </xf>
    <xf numFmtId="0" fontId="65" fillId="16" borderId="16" applyAlignment="1" pivotButton="0" quotePrefix="0" xfId="0">
      <alignment horizontal="left" vertical="center"/>
    </xf>
    <xf numFmtId="10" fontId="0" fillId="0" borderId="16" applyAlignment="1" pivotButton="0" quotePrefix="0" xfId="0">
      <alignment horizontal="center" vertical="center"/>
    </xf>
    <xf numFmtId="10" fontId="0" fillId="15" borderId="16" applyAlignment="1" pivotButton="0" quotePrefix="0" xfId="0">
      <alignment horizontal="center" vertical="center"/>
    </xf>
    <xf numFmtId="10" fontId="65" fillId="16" borderId="16" applyAlignment="1" pivotButton="0" quotePrefix="0" xfId="0">
      <alignment horizontal="center" vertical="center"/>
    </xf>
    <xf numFmtId="4" fontId="65" fillId="15" borderId="16" applyAlignment="1" pivotButton="0" quotePrefix="0" xfId="0">
      <alignment horizontal="right" vertical="center"/>
    </xf>
    <xf numFmtId="0" fontId="68" fillId="0" borderId="0" pivotButton="0" quotePrefix="0" xfId="0"/>
    <xf numFmtId="0" fontId="44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4" fontId="43" fillId="0" borderId="0" applyAlignment="1" pivotButton="0" quotePrefix="0" xfId="0">
      <alignment horizontal="general" vertical="bottom"/>
    </xf>
    <xf numFmtId="4" fontId="43" fillId="0" borderId="2" applyAlignment="1" pivotButton="0" quotePrefix="0" xfId="0">
      <alignment horizontal="center" vertical="center" wrapText="1"/>
    </xf>
    <xf numFmtId="4" fontId="43" fillId="10" borderId="2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42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4" fontId="43" fillId="0" borderId="2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9" fontId="0" fillId="0" borderId="2" applyAlignment="1" pivotButton="0" quotePrefix="0" xfId="0">
      <alignment horizontal="general" vertical="bottom"/>
    </xf>
    <xf numFmtId="9" fontId="21" fillId="0" borderId="2" applyAlignment="1" pivotButton="0" quotePrefix="0" xfId="0">
      <alignment horizontal="center" vertical="center" wrapText="1"/>
    </xf>
    <xf numFmtId="9" fontId="21" fillId="10" borderId="2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164" fontId="0" fillId="10" borderId="2" applyAlignment="1" pivotButton="0" quotePrefix="0" xfId="0">
      <alignment horizontal="center" vertical="center" wrapText="1"/>
    </xf>
    <xf numFmtId="164" fontId="43" fillId="0" borderId="2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general" vertical="bottom"/>
    </xf>
    <xf numFmtId="4" fontId="55" fillId="0" borderId="2" applyAlignment="1" pivotButton="0" quotePrefix="0" xfId="0">
      <alignment horizontal="general" vertical="bottom"/>
    </xf>
    <xf numFmtId="4" fontId="56" fillId="0" borderId="2" applyAlignment="1" pivotButton="0" quotePrefix="0" xfId="0">
      <alignment horizontal="general" vertical="bottom"/>
    </xf>
    <xf numFmtId="0" fontId="40" fillId="0" borderId="0" applyAlignment="1" pivotButton="0" quotePrefix="0" xfId="0">
      <alignment horizontal="left" vertical="center"/>
    </xf>
    <xf numFmtId="0" fontId="58" fillId="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general" vertical="bottom"/>
    </xf>
    <xf numFmtId="0" fontId="16" fillId="10" borderId="3" applyAlignment="1" pivotButton="0" quotePrefix="0" xfId="0">
      <alignment horizontal="general" vertical="bottom"/>
    </xf>
    <xf numFmtId="0" fontId="60" fillId="0" borderId="3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0" fillId="10" borderId="3" applyAlignment="1" pivotButton="0" quotePrefix="0" xfId="0">
      <alignment horizontal="general" vertical="bottom"/>
    </xf>
    <xf numFmtId="0" fontId="59" fillId="2" borderId="3" applyAlignment="1" pivotButton="0" quotePrefix="0" xfId="0">
      <alignment horizontal="center" vertical="center"/>
    </xf>
    <xf numFmtId="10" fontId="0" fillId="0" borderId="3" applyAlignment="1" pivotButton="0" quotePrefix="0" xfId="0">
      <alignment horizontal="general" vertical="bottom"/>
    </xf>
    <xf numFmtId="10" fontId="0" fillId="10" borderId="3" applyAlignment="1" pivotButton="0" quotePrefix="0" xfId="0">
      <alignment horizontal="general" vertical="bottom"/>
    </xf>
    <xf numFmtId="10" fontId="61" fillId="0" borderId="3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bottom"/>
    </xf>
    <xf numFmtId="0" fontId="70" fillId="0" borderId="0" pivotButton="0" quotePrefix="0" xfId="0"/>
    <xf numFmtId="0" fontId="71" fillId="1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72" fillId="0" borderId="0" pivotButton="0" quotePrefix="0" xfId="0"/>
    <xf numFmtId="0" fontId="73" fillId="0" borderId="0" pivotButton="0" quotePrefix="0" xfId="0"/>
    <xf numFmtId="4" fontId="0" fillId="0" borderId="0" pivotButton="0" quotePrefix="0" xfId="0"/>
    <xf numFmtId="0" fontId="74" fillId="18" borderId="0" pivotButton="0" quotePrefix="0" xfId="0"/>
    <xf numFmtId="0" fontId="75" fillId="19" borderId="0" pivotButton="0" quotePrefix="0" xfId="0"/>
    <xf numFmtId="0" fontId="76" fillId="0" borderId="0" pivotButton="0" quotePrefix="0" xfId="0"/>
    <xf numFmtId="0" fontId="71" fillId="20" borderId="0" applyAlignment="1" pivotButton="0" quotePrefix="0" xfId="0">
      <alignment horizontal="center" vertical="center"/>
    </xf>
    <xf numFmtId="0" fontId="71" fillId="21" borderId="0" applyAlignment="1" pivotButton="0" quotePrefix="0" xfId="0">
      <alignment horizontal="center" vertical="center"/>
    </xf>
    <xf numFmtId="0" fontId="77" fillId="18" borderId="0" pivotButton="0" quotePrefix="0" xfId="0"/>
    <xf numFmtId="0" fontId="78" fillId="19" borderId="0" pivotButton="0" quotePrefix="0" xfId="0"/>
    <xf numFmtId="0" fontId="81" fillId="0" borderId="0" pivotButton="0" quotePrefix="0" xfId="0"/>
    <xf numFmtId="0" fontId="71" fillId="17" borderId="0" pivotButton="0" quotePrefix="0" xfId="0"/>
    <xf numFmtId="0" fontId="71" fillId="23" borderId="0" pivotButton="0" quotePrefix="0" xfId="0"/>
    <xf numFmtId="0" fontId="72" fillId="22" borderId="0" pivotButton="0" quotePrefix="0" xfId="0"/>
    <xf numFmtId="4" fontId="72" fillId="22" borderId="0" pivotButton="0" quotePrefix="0" xfId="0"/>
    <xf numFmtId="0" fontId="71" fillId="20" borderId="0" pivotButton="0" quotePrefix="0" xfId="0"/>
    <xf numFmtId="0" fontId="74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1" fillId="2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微软雅黑"/>
        <charset val="1"/>
        <family val="0"/>
        <b val="1"/>
        <color rgb="FFC00000"/>
        <sz val="10"/>
      </font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A500"/>
        </patternFill>
      </fill>
    </dxf>
    <dxf>
      <font>
        <name val="微软雅黑"/>
        <charset val="1"/>
        <family val="0"/>
        <strike val="1"/>
        <color rgb="FF999999"/>
        <sz val="10"/>
      </font>
      <fill>
        <patternFill>
          <bgColor rgb="FFD9D9D9"/>
        </patternFill>
      </fill>
    </dxf>
    <dxf>
      <font>
        <name val="微软雅黑"/>
        <charset val="1"/>
        <family val="0"/>
        <b val="1"/>
        <color rgb="FFFFFFFF"/>
        <sz val="10"/>
      </font>
      <fill>
        <patternFill>
          <bgColor rgb="FFFF0000"/>
        </patternFill>
      </fill>
    </dxf>
    <dxf>
      <font>
        <name val="微软雅黑"/>
        <charset val="1"/>
        <family val="0"/>
        <b val="1"/>
        <color rgb="FFFF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70AD47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7030A0"/>
      <rgbColor rgb="FF00B050"/>
      <rgbColor rgb="FFAAAAAA"/>
      <rgbColor rgb="FF808080"/>
      <rgbColor rgb="FF93A9CE"/>
      <rgbColor rgb="FFAB4744"/>
      <rgbColor rgb="FFFFF2CC"/>
      <rgbColor rgb="FFF2F7FB"/>
      <rgbColor rgb="FF660066"/>
      <rgbColor rgb="FFFF6B6B"/>
      <rgbColor rgb="FF0066CC"/>
      <rgbColor rgb="FFE8D5F5"/>
      <rgbColor rgb="FF000080"/>
      <rgbColor rgb="FFFF00FF"/>
      <rgbColor rgb="FFFCE4EC"/>
      <rgbColor rgb="FF00FFFF"/>
      <rgbColor rgb="FF800080"/>
      <rgbColor rgb="FF800000"/>
      <rgbColor rgb="FF4672A8"/>
      <rgbColor rgb="FF0000FF"/>
      <rgbColor rgb="FF4F81BD"/>
      <rgbColor rgb="FFD6E4F0"/>
      <rgbColor rgb="FFE2EFDA"/>
      <rgbColor rgb="FFFBE5D6"/>
      <rgbColor rgb="FFD9DEE7"/>
      <rgbColor rgb="FFDC853E"/>
      <rgbColor rgb="FFD9D9D9"/>
      <rgbColor rgb="FFFFCCCC"/>
      <rgbColor rgb="FF4A7EBB"/>
      <rgbColor rgb="FF5B9BD5"/>
      <rgbColor rgb="FF98B855"/>
      <rgbColor rgb="FFFFC000"/>
      <rgbColor rgb="FFFFA500"/>
      <rgbColor rgb="FFED7D31"/>
      <rgbColor rgb="FF725990"/>
      <rgbColor rgb="FF999999"/>
      <rgbColor rgb="FF8AA64F"/>
      <rgbColor rgb="FF4299B0"/>
      <rgbColor rgb="FF003300"/>
      <rgbColor rgb="FF666666"/>
      <rgbColor rgb="FF878787"/>
      <rgbColor rgb="FFBE4B48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月度经营趋势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图表分析!B4</f>
              <strCache>
                <ptCount val="1"/>
                <pt idx="0">
                  <v>营业收入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图表分析!$A$5:$A$7</f>
              <strCache>
                <ptCount val="3"/>
                <pt idx="0">
                  <v>2025-03</v>
                </pt>
                <pt idx="1">
                  <v>2025-04</v>
                </pt>
                <pt idx="2">
                  <v>2025-05</v>
                </pt>
              </strCache>
            </strRef>
          </cat>
          <val>
            <numRef>
              <f>图表分析!$B$5:$B$7</f>
              <numCache>
                <formatCode>General</formatCode>
                <ptCount val="3"/>
                <pt idx="0">
                  <v>134544.68</v>
                </pt>
                <pt idx="1">
                  <v>51354.28</v>
                </pt>
                <pt idx="2">
                  <v>139969.65</v>
                </pt>
              </numCache>
            </numRef>
          </val>
          <smooth val="1"/>
        </ser>
        <ser>
          <idx val="1"/>
          <order val="1"/>
          <tx>
            <strRef>
              <f>图表分析!C4</f>
              <strCache>
                <ptCount val="1"/>
                <pt idx="0">
                  <v>营业成本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图表分析!$A$5:$A$7</f>
              <strCache>
                <ptCount val="3"/>
                <pt idx="0">
                  <v>2025-03</v>
                </pt>
                <pt idx="1">
                  <v>2025-04</v>
                </pt>
                <pt idx="2">
                  <v>2025-05</v>
                </pt>
              </strCache>
            </strRef>
          </cat>
          <val>
            <numRef>
              <f>图表分析!$C$5:$C$7</f>
              <numCache>
                <formatCode>General</formatCode>
                <ptCount val="3"/>
                <pt idx="0">
                  <v>51989.7</v>
                </pt>
                <pt idx="1">
                  <v>50023.73</v>
                </pt>
                <pt idx="2">
                  <v>53640.5</v>
                </pt>
              </numCache>
            </numRef>
          </val>
          <smooth val="1"/>
        </ser>
        <ser>
          <idx val="2"/>
          <order val="2"/>
          <tx>
            <strRef>
              <f>图表分析!D4</f>
              <strCache>
                <ptCount val="1"/>
                <pt idx="0">
                  <v>净利润</v>
                </pt>
              </strCache>
            </strRef>
          </tx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图表分析!$A$5:$A$7</f>
              <strCache>
                <ptCount val="3"/>
                <pt idx="0">
                  <v>2025-03</v>
                </pt>
                <pt idx="1">
                  <v>2025-04</v>
                </pt>
                <pt idx="2">
                  <v>2025-05</v>
                </pt>
              </strCache>
            </strRef>
          </cat>
          <val>
            <numRef>
              <f>图表分析!$D$5:$D$7</f>
              <numCache>
                <formatCode>General</formatCode>
                <ptCount val="3"/>
                <pt idx="0">
                  <v>82554.98</v>
                </pt>
                <pt idx="1">
                  <v>1330.55</v>
                </pt>
                <pt idx="2">
                  <v>86329.14999999999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386180"/>
        <axId val="38692785"/>
      </lineChart>
      <catAx>
        <axId val="823861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8692785"/>
        <crosses val="autoZero"/>
        <auto val="1"/>
        <lblAlgn val="ctr"/>
        <lblOffset val="100"/>
        <noMultiLvlLbl val="0"/>
      </catAx>
      <valAx>
        <axId val="3869278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金额(元)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23861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客户收入排名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图表分析!B10</f>
              <strCache>
                <ptCount val="1"/>
                <pt idx="0">
                  <v>累计金额(元)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图表分析!$A$11:$A$18</f>
              <strCache>
                <ptCount val="8"/>
                <pt idx="0">
                  <v>华泰金属</v>
                </pt>
                <pt idx="1">
                  <v>瑞丰金属</v>
                </pt>
                <pt idx="2">
                  <v>博远五金</v>
                </pt>
                <pt idx="3">
                  <v>永达五金厂</v>
                </pt>
                <pt idx="4">
                  <v>宏盛五金</v>
                </pt>
                <pt idx="5">
                  <v>恒丰铝业</v>
                </pt>
                <pt idx="6">
                  <v>天成铝材</v>
                </pt>
                <pt idx="7">
                  <v>鑫达精密</v>
                </pt>
              </strCache>
            </strRef>
          </cat>
          <val>
            <numRef>
              <f>图表分析!$B$11:$B$18</f>
              <numCache>
                <formatCode>General</formatCode>
                <ptCount val="8"/>
                <pt idx="0">
                  <v>130632.72</v>
                </pt>
                <pt idx="1">
                  <v>60407.22</v>
                </pt>
                <pt idx="2">
                  <v>52604.39</v>
                </pt>
                <pt idx="3">
                  <v>27425.65</v>
                </pt>
                <pt idx="4">
                  <v>26157.78</v>
                </pt>
                <pt idx="5">
                  <v>15983.93</v>
                </pt>
                <pt idx="6">
                  <v>7759.73</v>
                </pt>
                <pt idx="7">
                  <v>4897.19</v>
                </pt>
              </numCache>
            </numRef>
          </val>
        </ser>
        <gapWidth val="150"/>
        <overlap val="0"/>
        <axId val="37955655"/>
        <axId val="76249192"/>
      </barChart>
      <catAx>
        <axId val="379556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6249192"/>
        <crosses val="autoZero"/>
        <auto val="1"/>
        <lblAlgn val="ctr"/>
        <lblOffset val="100"/>
        <noMultiLvlLbl val="0"/>
      </catAx>
      <valAx>
        <axId val="7624919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金额(元)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79556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成本结构分析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图表分析!B21</f>
              <strCache>
                <ptCount val="1"/>
                <pt idx="0">
                  <v>金额(元)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图表分析!$A$22:$A$28</f>
              <strCache>
                <ptCount val="7"/>
                <pt idx="0">
                  <v>工资</v>
                </pt>
                <pt idx="1">
                  <v>房租</v>
                </pt>
                <pt idx="2">
                  <v>化工材料</v>
                </pt>
                <pt idx="3">
                  <v>水电费</v>
                </pt>
                <pt idx="4">
                  <v>委外加工费</v>
                </pt>
                <pt idx="5">
                  <v>日常费用</v>
                </pt>
                <pt idx="6">
                  <v>亚硝酸钠</v>
                </pt>
              </strCache>
            </strRef>
          </cat>
          <val>
            <numRef>
              <f>图表分析!$B$22:$B$28</f>
              <numCache>
                <formatCode>General</formatCode>
                <ptCount val="7"/>
                <pt idx="0">
                  <v>92610.14</v>
                </pt>
                <pt idx="1">
                  <v>24000</v>
                </pt>
                <pt idx="2">
                  <v>16362.23</v>
                </pt>
                <pt idx="3">
                  <v>13139.93</v>
                </pt>
                <pt idx="4">
                  <v>7002.07</v>
                </pt>
                <pt idx="5">
                  <v>1515.06</v>
                </pt>
                <pt idx="6">
                  <v>1024.5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产品金额排名TOP10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图表分析!D31</f>
              <strCache>
                <ptCount val="1"/>
                <pt idx="0">
                  <v>总金额(不含税)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图表分析!$A$32:$A$41</f>
              <strCache>
                <ptCount val="10"/>
                <pt idx="0">
                  <v>铝板氧化</v>
                </pt>
                <pt idx="1">
                  <v>铝件氧化-香槟</v>
                </pt>
                <pt idx="2">
                  <v>铝件氧化-银白</v>
                </pt>
                <pt idx="3">
                  <v>铝件氧化-黑色</v>
                </pt>
                <pt idx="4">
                  <v>铜件氧化</v>
                </pt>
                <pt idx="5">
                  <v>铝管氧化</v>
                </pt>
                <pt idx="6">
                  <v>铝件氧化-蓝色</v>
                </pt>
                <pt idx="7">
                  <v>铝件喷砂+氧化</v>
                </pt>
                <pt idx="8">
                  <v>铝件喷砂(委外)</v>
                </pt>
                <pt idx="9">
                  <v>铝件抛光+氧化</v>
                </pt>
              </strCache>
            </strRef>
          </cat>
          <val>
            <numRef>
              <f>图表分析!$D$32:$D$41</f>
              <numCache>
                <formatCode>General</formatCode>
                <ptCount val="10"/>
                <pt idx="0">
                  <v>172832.91</v>
                </pt>
                <pt idx="1">
                  <v>23519.67</v>
                </pt>
                <pt idx="2">
                  <v>17558.67</v>
                </pt>
                <pt idx="3">
                  <v>16549.04</v>
                </pt>
                <pt idx="4">
                  <v>16291.5</v>
                </pt>
                <pt idx="5">
                  <v>14198.23</v>
                </pt>
                <pt idx="6">
                  <v>13623.53</v>
                </pt>
                <pt idx="7">
                  <v>9252.59</v>
                </pt>
                <pt idx="8">
                  <v>7936.48</v>
                </pt>
                <pt idx="9">
                  <v>6631.09</v>
                </pt>
              </numCache>
            </numRef>
          </val>
        </ser>
        <gapWidth val="150"/>
        <overlap val="0"/>
        <axId val="64051859"/>
        <axId val="3326329"/>
      </barChart>
      <catAx>
        <axId val="640518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326329"/>
        <crosses val="autoZero"/>
        <auto val="1"/>
        <lblAlgn val="ctr"/>
        <lblOffset val="100"/>
        <noMultiLvlLbl val="0"/>
      </catAx>
      <valAx>
        <axId val="332632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金额(元)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0518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13</col>
      <colOff>279000</colOff>
      <row>24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17</row>
      <rowOff>0</rowOff>
    </from>
    <to>
      <col>13</col>
      <colOff>279000</colOff>
      <row>39</row>
      <rowOff>128520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32</row>
      <rowOff>0</rowOff>
    </from>
    <to>
      <col>11</col>
      <colOff>356760</colOff>
      <row>54</row>
      <rowOff>128520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47</row>
      <rowOff>0</rowOff>
    </from>
    <to>
      <col>13</col>
      <colOff>279000</colOff>
      <row>69</row>
      <rowOff>128520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_rels/sheet1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7.xml"/>
</Relationships>
</file>

<file path=xl/worksheets/_rels/sheet1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8.xml"/>
</Relationships>
</file>

<file path=xl/worksheets/_rels/sheet1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9.xml"/>
</Relationships>
</file>

<file path=xl/worksheets/_rels/sheet2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0.xml"/>
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Relationship Id="rId2" Type="http://schemas.openxmlformats.org/officeDocument/2006/relationships/drawing" Target="../drawings/drawing_wm21.xml"/></Relationships>
</file>

<file path=xl/worksheets/_rels/sheet2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2.xml"/>
</Relationships>
</file>

<file path=xl/worksheets/_rels/sheet2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3.xml"/>
</Relationships>
</file>

<file path=xl/worksheets/_rels/sheet2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4.xml"/>
</Relationships>
</file>

<file path=xl/worksheets/_rels/sheet2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5.xml"/>
</Relationships>
</file>

<file path=xl/worksheets/_rels/sheet2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6.xml"/>
</Relationships>
</file>

<file path=xl/worksheets/_rels/sheet2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7.xml"/>
</Relationships>
</file>

<file path=xl/worksheets/_rels/sheet2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8.xml"/>
</Relationships>
</file>

<file path=xl/worksheets/_rels/sheet2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9.xml"/>
</Relationships>
</file>

<file path=xl/worksheets/_rels/sheet3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0.xml"/>
</Relationships>
</file>

<file path=xl/worksheets/_rels/sheet3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tabColor rgb="FF2F5496"/>
    <outlinePr summaryBelow="1" summaryRight="1"/>
    <pageSetUpPr fitToPage="0"/>
  </sheetPr>
  <dimension ref="A1:H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0" customWidth="1" style="95" min="1" max="1"/>
    <col width="18" customWidth="1" style="95" min="2" max="8"/>
  </cols>
  <sheetData>
    <row r="1" ht="45" customHeight="1" s="96">
      <c r="A1" s="97" t="inlineStr">
        <is>
          <t>氧化加工厂经营仪表盘</t>
        </is>
      </c>
    </row>
    <row r="2" ht="24.75" customHeight="1" s="96">
      <c r="A2" s="98" t="inlineStr">
        <is>
          <t>截至：2025年5月31日</t>
        </is>
      </c>
    </row>
    <row r="4" ht="15" customHeight="1" s="96">
      <c r="A4" s="99" t="inlineStr">
        <is>
          <t>本月营业收入</t>
        </is>
      </c>
      <c r="B4" s="100" t="n"/>
      <c r="C4" s="101" t="inlineStr">
        <is>
          <t>本月费用支出</t>
        </is>
      </c>
      <c r="D4" s="100" t="n"/>
      <c r="E4" s="102" t="inlineStr">
        <is>
          <t>本月净利润</t>
        </is>
      </c>
      <c r="F4" s="100" t="n"/>
      <c r="G4" s="103" t="inlineStr">
        <is>
          <t>G银行余额</t>
        </is>
      </c>
      <c r="H4" s="100" t="n"/>
    </row>
    <row r="5" ht="15" customHeight="1" s="96">
      <c r="A5" s="104" t="n"/>
      <c r="B5" s="105" t="n"/>
      <c r="C5" s="104" t="n"/>
      <c r="D5" s="105" t="n"/>
      <c r="E5" s="104" t="n"/>
      <c r="F5" s="105" t="n"/>
      <c r="G5" s="104" t="n"/>
      <c r="H5" s="105" t="n"/>
    </row>
    <row r="6" ht="34.5" customHeight="1" s="96">
      <c r="A6" s="106">
        <f>SUMIF(加工订单!A:A,"2025-05*",加工订单!I:I)</f>
        <v/>
      </c>
      <c r="B6" s="107" t="n"/>
      <c r="C6" s="108">
        <f>SUMIF(费用明细!E:E,"2025-05",费用明细!C:C)</f>
        <v/>
      </c>
      <c r="D6" s="107" t="n"/>
      <c r="E6" s="109">
        <f>A6-C6</f>
        <v/>
      </c>
      <c r="F6" s="107" t="n"/>
      <c r="G6" s="106">
        <f>G银行!F35</f>
        <v/>
      </c>
      <c r="H6" s="107" t="n"/>
    </row>
    <row r="8" ht="15" customHeight="1" s="96">
      <c r="A8" s="110" t="inlineStr">
        <is>
          <t>N银行/微信余额</t>
        </is>
      </c>
      <c r="B8" s="100" t="n"/>
      <c r="C8" s="111" t="inlineStr">
        <is>
          <t>应收账款合计</t>
        </is>
      </c>
      <c r="D8" s="100" t="n"/>
    </row>
    <row r="9" ht="15" customHeight="1" s="96">
      <c r="A9" s="104" t="n"/>
      <c r="B9" s="105" t="n"/>
      <c r="C9" s="104" t="n"/>
      <c r="D9" s="105" t="n"/>
    </row>
    <row r="10" ht="34.5" customHeight="1" s="96">
      <c r="A10" s="109">
        <f>N银行微信!F55</f>
        <v/>
      </c>
      <c r="B10" s="107" t="n"/>
      <c r="C10" s="112">
        <f>SUMIF(应收应付!D3:D11,"&gt;0",应收应付!D3:D11)</f>
        <v/>
      </c>
      <c r="D10" s="107" t="n"/>
    </row>
    <row r="12" ht="15" customHeight="1" s="96">
      <c r="A12" s="113" t="inlineStr">
        <is>
          <t>[!] 库存预警</t>
        </is>
      </c>
    </row>
    <row r="13" ht="15" customHeight="1" s="96">
      <c r="A13" s="114" t="inlineStr">
        <is>
          <t>材料名称</t>
        </is>
      </c>
      <c r="B13" s="114" t="inlineStr">
        <is>
          <t>期末库存</t>
        </is>
      </c>
      <c r="C13" s="114" t="inlineStr">
        <is>
          <t>安全库存</t>
        </is>
      </c>
      <c r="D13" s="114" t="inlineStr">
        <is>
          <t>预警状态</t>
        </is>
      </c>
    </row>
    <row r="14" ht="15" customHeight="1" s="96">
      <c r="A14" s="115" t="inlineStr">
        <is>
          <t>硫酸</t>
        </is>
      </c>
      <c r="B14" s="116">
        <f>材料库存!G3</f>
        <v/>
      </c>
      <c r="C14" s="116">
        <f>材料库存!H3</f>
        <v/>
      </c>
      <c r="D14" s="117">
        <f>材料库存!I3</f>
        <v/>
      </c>
    </row>
    <row r="15" ht="15" customHeight="1" s="96">
      <c r="A15" s="118" t="inlineStr">
        <is>
          <t>硝酸</t>
        </is>
      </c>
      <c r="B15" s="119">
        <f>材料库存!G4</f>
        <v/>
      </c>
      <c r="C15" s="119">
        <f>材料库存!H4</f>
        <v/>
      </c>
      <c r="D15" s="120">
        <f>材料库存!I4</f>
        <v/>
      </c>
    </row>
    <row r="16" ht="15" customHeight="1" s="96">
      <c r="A16" s="115" t="inlineStr">
        <is>
          <t>铬酸</t>
        </is>
      </c>
      <c r="B16" s="116">
        <f>材料库存!G5</f>
        <v/>
      </c>
      <c r="C16" s="116">
        <f>材料库存!H5</f>
        <v/>
      </c>
      <c r="D16" s="117">
        <f>材料库存!I5</f>
        <v/>
      </c>
    </row>
    <row r="17" ht="15" customHeight="1" s="96">
      <c r="A17" s="118" t="inlineStr">
        <is>
          <t>片碱</t>
        </is>
      </c>
      <c r="B17" s="119">
        <f>材料库存!G6</f>
        <v/>
      </c>
      <c r="C17" s="119">
        <f>材料库存!H6</f>
        <v/>
      </c>
      <c r="D17" s="120">
        <f>材料库存!I6</f>
        <v/>
      </c>
    </row>
    <row r="18" ht="15" customHeight="1" s="96">
      <c r="A18" s="115" t="inlineStr">
        <is>
          <t>亚硝酸钠</t>
        </is>
      </c>
      <c r="B18" s="116">
        <f>材料库存!G7</f>
        <v/>
      </c>
      <c r="C18" s="116">
        <f>材料库存!H7</f>
        <v/>
      </c>
      <c r="D18" s="117">
        <f>材料库存!I7</f>
        <v/>
      </c>
    </row>
    <row r="19" ht="15" customHeight="1" s="96">
      <c r="A19" s="118" t="inlineStr">
        <is>
          <t>黑色色粉</t>
        </is>
      </c>
      <c r="B19" s="119">
        <f>材料库存!G8</f>
        <v/>
      </c>
      <c r="C19" s="119">
        <f>材料库存!H8</f>
        <v/>
      </c>
      <c r="D19" s="120">
        <f>材料库存!I8</f>
        <v/>
      </c>
    </row>
    <row r="20" ht="15" customHeight="1" s="96">
      <c r="A20" s="115" t="inlineStr">
        <is>
          <t>银白色色粉</t>
        </is>
      </c>
      <c r="B20" s="116">
        <f>材料库存!G9</f>
        <v/>
      </c>
      <c r="C20" s="116">
        <f>材料库存!H9</f>
        <v/>
      </c>
      <c r="D20" s="117">
        <f>材料库存!I9</f>
        <v/>
      </c>
    </row>
    <row r="21" ht="15" customHeight="1" s="96">
      <c r="A21" s="118" t="inlineStr">
        <is>
          <t>香槟色色粉</t>
        </is>
      </c>
      <c r="B21" s="119">
        <f>材料库存!G10</f>
        <v/>
      </c>
      <c r="C21" s="119">
        <f>材料库存!H10</f>
        <v/>
      </c>
      <c r="D21" s="120">
        <f>材料库存!I10</f>
        <v/>
      </c>
    </row>
    <row r="22" ht="15" customHeight="1" s="96">
      <c r="A22" s="115" t="inlineStr">
        <is>
          <t>蓝色色粉</t>
        </is>
      </c>
      <c r="B22" s="116">
        <f>材料库存!G11</f>
        <v/>
      </c>
      <c r="C22" s="116">
        <f>材料库存!H11</f>
        <v/>
      </c>
      <c r="D22" s="117">
        <f>材料库存!I11</f>
        <v/>
      </c>
    </row>
    <row r="23" ht="15" customHeight="1" s="96">
      <c r="A23" s="118" t="inlineStr">
        <is>
          <t>除油剂</t>
        </is>
      </c>
      <c r="B23" s="119">
        <f>材料库存!G12</f>
        <v/>
      </c>
      <c r="C23" s="119">
        <f>材料库存!H12</f>
        <v/>
      </c>
      <c r="D23" s="120">
        <f>材料库存!I12</f>
        <v/>
      </c>
    </row>
    <row r="24" ht="15" customHeight="1" s="96">
      <c r="A24" s="115" t="inlineStr">
        <is>
          <t>挂具</t>
        </is>
      </c>
      <c r="B24" s="116">
        <f>材料库存!G13</f>
        <v/>
      </c>
      <c r="C24" s="116">
        <f>材料库存!H13</f>
        <v/>
      </c>
      <c r="D24" s="117">
        <f>材料库存!I13</f>
        <v/>
      </c>
    </row>
    <row r="26" ht="15" customHeight="1" s="96">
      <c r="A26" s="121" t="inlineStr">
        <is>
          <t>[!] 欠款提醒 - 应收余额&gt;0的客户</t>
        </is>
      </c>
    </row>
    <row r="27" ht="15" customHeight="1" s="96">
      <c r="A27" s="122" t="inlineStr">
        <is>
          <t>客户名称</t>
        </is>
      </c>
      <c r="B27" s="122" t="inlineStr">
        <is>
          <t>订单总金额</t>
        </is>
      </c>
      <c r="C27" s="122" t="inlineStr">
        <is>
          <t>已收金额</t>
        </is>
      </c>
      <c r="D27" s="122" t="inlineStr">
        <is>
          <t>应收余额</t>
        </is>
      </c>
    </row>
    <row r="28" ht="15" customHeight="1" s="96">
      <c r="A28" s="115" t="inlineStr">
        <is>
          <t>永达五金厂</t>
        </is>
      </c>
      <c r="B28" s="116">
        <f>应收应付!B3</f>
        <v/>
      </c>
      <c r="C28" s="116">
        <f>应收应付!C3</f>
        <v/>
      </c>
      <c r="D28" s="116">
        <f>应收应付!D3</f>
        <v/>
      </c>
    </row>
    <row r="29" ht="15" customHeight="1" s="96">
      <c r="A29" s="118" t="inlineStr">
        <is>
          <t>恒丰铝业</t>
        </is>
      </c>
      <c r="B29" s="119">
        <f>应收应付!B4</f>
        <v/>
      </c>
      <c r="C29" s="119">
        <f>应收应付!C4</f>
        <v/>
      </c>
      <c r="D29" s="119">
        <f>应收应付!D4</f>
        <v/>
      </c>
    </row>
    <row r="30" ht="15" customHeight="1" s="96">
      <c r="A30" s="115" t="inlineStr">
        <is>
          <t>鑫达精密</t>
        </is>
      </c>
      <c r="B30" s="116">
        <f>应收应付!B5</f>
        <v/>
      </c>
      <c r="C30" s="116">
        <f>应收应付!C5</f>
        <v/>
      </c>
      <c r="D30" s="116">
        <f>应收应付!D5</f>
        <v/>
      </c>
    </row>
    <row r="31" ht="15" customHeight="1" s="96">
      <c r="A31" s="118" t="inlineStr">
        <is>
          <t>华泰金属</t>
        </is>
      </c>
      <c r="B31" s="119">
        <f>应收应付!B6</f>
        <v/>
      </c>
      <c r="C31" s="119">
        <f>应收应付!C6</f>
        <v/>
      </c>
      <c r="D31" s="119">
        <f>应收应付!D6</f>
        <v/>
      </c>
    </row>
    <row r="32" ht="15" customHeight="1" s="96">
      <c r="A32" s="115" t="inlineStr">
        <is>
          <t>博远五金</t>
        </is>
      </c>
      <c r="B32" s="116">
        <f>应收应付!B7</f>
        <v/>
      </c>
      <c r="C32" s="116">
        <f>应收应付!C7</f>
        <v/>
      </c>
      <c r="D32" s="116">
        <f>应收应付!D7</f>
        <v/>
      </c>
    </row>
    <row r="33" ht="15" customHeight="1" s="96">
      <c r="A33" s="118" t="inlineStr">
        <is>
          <t>天成铝材</t>
        </is>
      </c>
      <c r="B33" s="119">
        <f>应收应付!B8</f>
        <v/>
      </c>
      <c r="C33" s="119">
        <f>应收应付!C8</f>
        <v/>
      </c>
      <c r="D33" s="119">
        <f>应收应付!D8</f>
        <v/>
      </c>
    </row>
    <row r="34" ht="15" customHeight="1" s="96">
      <c r="A34" s="115" t="inlineStr">
        <is>
          <t>宏盛五金</t>
        </is>
      </c>
      <c r="B34" s="116">
        <f>应收应付!B9</f>
        <v/>
      </c>
      <c r="C34" s="116">
        <f>应收应付!C9</f>
        <v/>
      </c>
      <c r="D34" s="116">
        <f>应收应付!D9</f>
        <v/>
      </c>
    </row>
    <row r="35" ht="15" customHeight="1" s="96">
      <c r="A35" s="118" t="inlineStr">
        <is>
          <t>瑞丰金属</t>
        </is>
      </c>
      <c r="B35" s="119">
        <f>应收应付!B10</f>
        <v/>
      </c>
      <c r="C35" s="119">
        <f>应收应付!C10</f>
        <v/>
      </c>
      <c r="D35" s="119">
        <f>应收应付!D10</f>
        <v/>
      </c>
    </row>
    <row r="37" ht="15" customHeight="1" s="96">
      <c r="A37" s="123" t="inlineStr">
        <is>
          <t>[!] 进行中的订单</t>
        </is>
      </c>
    </row>
    <row r="38" ht="15" customHeight="1" s="96">
      <c r="A38" s="124" t="inlineStr">
        <is>
          <t>订单号</t>
        </is>
      </c>
      <c r="B38" s="124" t="inlineStr">
        <is>
          <t>客户</t>
        </is>
      </c>
      <c r="C38" s="124" t="inlineStr">
        <is>
          <t>产品名称</t>
        </is>
      </c>
      <c r="D38" s="124" t="inlineStr">
        <is>
          <t>数量</t>
        </is>
      </c>
      <c r="E38" s="124" t="inlineStr">
        <is>
          <t>单位</t>
        </is>
      </c>
      <c r="F38" s="124" t="inlineStr">
        <is>
          <t>金额</t>
        </is>
      </c>
      <c r="G38" s="124" t="inlineStr">
        <is>
          <t>日期</t>
        </is>
      </c>
      <c r="H38" s="124" t="inlineStr">
        <is>
          <t>状态</t>
        </is>
      </c>
    </row>
    <row r="39" ht="15" customHeight="1" s="96">
      <c r="A39" s="125" t="inlineStr">
        <is>
          <t>DD20250317003</t>
        </is>
      </c>
      <c r="B39" s="115" t="inlineStr">
        <is>
          <t>永达五金厂</t>
        </is>
      </c>
      <c r="C39" s="115" t="inlineStr">
        <is>
          <t>铝件抛光+氧化</t>
        </is>
      </c>
      <c r="D39" s="115" t="n">
        <v>1446</v>
      </c>
      <c r="E39" s="115" t="inlineStr">
        <is>
          <t>件</t>
        </is>
      </c>
      <c r="F39" s="116" t="n">
        <v>4512.67</v>
      </c>
      <c r="G39" s="125" t="inlineStr">
        <is>
          <t>2025-03-17</t>
        </is>
      </c>
      <c r="H39" s="126" t="inlineStr">
        <is>
          <t>进行中</t>
        </is>
      </c>
    </row>
    <row r="40" ht="15" customHeight="1" s="96">
      <c r="A40" s="127" t="inlineStr">
        <is>
          <t>DD20250309007</t>
        </is>
      </c>
      <c r="B40" s="118" t="inlineStr">
        <is>
          <t>永达五金厂</t>
        </is>
      </c>
      <c r="C40" s="118" t="inlineStr">
        <is>
          <t>铝件喷砂(委外)</t>
        </is>
      </c>
      <c r="D40" s="118" t="n">
        <v>1096</v>
      </c>
      <c r="E40" s="118" t="inlineStr">
        <is>
          <t>件</t>
        </is>
      </c>
      <c r="F40" s="119" t="n">
        <v>1799.56</v>
      </c>
      <c r="G40" s="127" t="inlineStr">
        <is>
          <t>2025-03-09</t>
        </is>
      </c>
      <c r="H40" s="128" t="inlineStr">
        <is>
          <t>进行中</t>
        </is>
      </c>
    </row>
    <row r="41" ht="15" customHeight="1" s="96">
      <c r="A41" s="125" t="inlineStr">
        <is>
          <t>DD20250326019</t>
        </is>
      </c>
      <c r="B41" s="115" t="inlineStr">
        <is>
          <t>宏盛五金</t>
        </is>
      </c>
      <c r="C41" s="115" t="inlineStr">
        <is>
          <t>铝件氧化-香槟</t>
        </is>
      </c>
      <c r="D41" s="115" t="n">
        <v>800</v>
      </c>
      <c r="E41" s="125" t="inlineStr">
        <is>
          <t>kg</t>
        </is>
      </c>
      <c r="F41" s="116" t="n">
        <v>3669.04</v>
      </c>
      <c r="G41" s="125" t="inlineStr">
        <is>
          <t>2025-03-26</t>
        </is>
      </c>
      <c r="H41" s="126" t="inlineStr">
        <is>
          <t>进行中</t>
        </is>
      </c>
    </row>
    <row r="42" ht="15" customHeight="1" s="96">
      <c r="A42" s="127" t="inlineStr">
        <is>
          <t>DD20250325021</t>
        </is>
      </c>
      <c r="B42" s="118" t="inlineStr">
        <is>
          <t>博远五金</t>
        </is>
      </c>
      <c r="C42" s="118" t="inlineStr">
        <is>
          <t>铝型材氧化-银白</t>
        </is>
      </c>
      <c r="D42" s="118" t="n">
        <v>268</v>
      </c>
      <c r="E42" s="127" t="inlineStr">
        <is>
          <t>m</t>
        </is>
      </c>
      <c r="F42" s="119" t="n">
        <v>581.91</v>
      </c>
      <c r="G42" s="127" t="inlineStr">
        <is>
          <t>2025-03-25</t>
        </is>
      </c>
      <c r="H42" s="128" t="inlineStr">
        <is>
          <t>进行中</t>
        </is>
      </c>
    </row>
    <row r="43" ht="15" customHeight="1" s="96">
      <c r="A43" s="125" t="inlineStr">
        <is>
          <t>DD20250413006</t>
        </is>
      </c>
      <c r="B43" s="115" t="inlineStr">
        <is>
          <t>永达五金厂</t>
        </is>
      </c>
      <c r="C43" s="115" t="inlineStr">
        <is>
          <t>铝件抛光(委外)</t>
        </is>
      </c>
      <c r="D43" s="115" t="n">
        <v>484</v>
      </c>
      <c r="E43" s="115" t="inlineStr">
        <is>
          <t>件</t>
        </is>
      </c>
      <c r="F43" s="116" t="n">
        <v>1029.29</v>
      </c>
      <c r="G43" s="125" t="inlineStr">
        <is>
          <t>2025-04-13</t>
        </is>
      </c>
      <c r="H43" s="126" t="inlineStr">
        <is>
          <t>进行中</t>
        </is>
      </c>
    </row>
    <row r="44" ht="15" customHeight="1" s="96">
      <c r="A44" s="127" t="inlineStr">
        <is>
          <t>DD20250412007</t>
        </is>
      </c>
      <c r="B44" s="118" t="inlineStr">
        <is>
          <t>博远五金</t>
        </is>
      </c>
      <c r="C44" s="118" t="inlineStr">
        <is>
          <t>铜件氧化</t>
        </is>
      </c>
      <c r="D44" s="118" t="n">
        <v>485</v>
      </c>
      <c r="E44" s="118" t="inlineStr">
        <is>
          <t>件</t>
        </is>
      </c>
      <c r="F44" s="119" t="n">
        <v>750.78</v>
      </c>
      <c r="G44" s="127" t="inlineStr">
        <is>
          <t>2025-04-12</t>
        </is>
      </c>
      <c r="H44" s="128" t="inlineStr">
        <is>
          <t>进行中</t>
        </is>
      </c>
    </row>
    <row r="45" ht="15" customHeight="1" s="96">
      <c r="A45" s="125" t="inlineStr">
        <is>
          <t>DD20250413015</t>
        </is>
      </c>
      <c r="B45" s="115" t="inlineStr">
        <is>
          <t>博远五金</t>
        </is>
      </c>
      <c r="C45" s="115" t="inlineStr">
        <is>
          <t>铝件喷砂+氧化</t>
        </is>
      </c>
      <c r="D45" s="115" t="n">
        <v>424</v>
      </c>
      <c r="E45" s="115" t="inlineStr">
        <is>
          <t>件</t>
        </is>
      </c>
      <c r="F45" s="116" t="n">
        <v>875.97</v>
      </c>
      <c r="G45" s="125" t="inlineStr">
        <is>
          <t>2025-04-13</t>
        </is>
      </c>
      <c r="H45" s="126" t="inlineStr">
        <is>
          <t>进行中</t>
        </is>
      </c>
    </row>
    <row r="46" ht="15" customHeight="1" s="96">
      <c r="A46" s="127" t="inlineStr">
        <is>
          <t>DD20250402021</t>
        </is>
      </c>
      <c r="B46" s="118" t="inlineStr">
        <is>
          <t>华泰金属</t>
        </is>
      </c>
      <c r="C46" s="118" t="inlineStr">
        <is>
          <t>铝件抛光(委外)</t>
        </is>
      </c>
      <c r="D46" s="118" t="n">
        <v>1242</v>
      </c>
      <c r="E46" s="118" t="inlineStr">
        <is>
          <t>件</t>
        </is>
      </c>
      <c r="F46" s="119" t="n">
        <v>2617.39</v>
      </c>
      <c r="G46" s="127" t="inlineStr">
        <is>
          <t>2025-04-02</t>
        </is>
      </c>
      <c r="H46" s="128" t="inlineStr">
        <is>
          <t>进行中</t>
        </is>
      </c>
    </row>
    <row r="47" ht="15" customHeight="1" s="96">
      <c r="A47" s="125" t="inlineStr">
        <is>
          <t>DD20250509001</t>
        </is>
      </c>
      <c r="B47" s="115" t="inlineStr">
        <is>
          <t>天成铝材</t>
        </is>
      </c>
      <c r="C47" s="115" t="inlineStr">
        <is>
          <t>铜件氧化</t>
        </is>
      </c>
      <c r="D47" s="115" t="n">
        <v>1670</v>
      </c>
      <c r="E47" s="115" t="inlineStr">
        <is>
          <t>件</t>
        </is>
      </c>
      <c r="F47" s="116" t="n">
        <v>2297.92</v>
      </c>
      <c r="G47" s="125" t="inlineStr">
        <is>
          <t>2025-05-09</t>
        </is>
      </c>
      <c r="H47" s="126" t="inlineStr">
        <is>
          <t>进行中</t>
        </is>
      </c>
    </row>
    <row r="48" ht="15" customHeight="1" s="96">
      <c r="A48" s="127" t="inlineStr">
        <is>
          <t>DD20250524005</t>
        </is>
      </c>
      <c r="B48" s="118" t="inlineStr">
        <is>
          <t>宏盛五金</t>
        </is>
      </c>
      <c r="C48" s="118" t="inlineStr">
        <is>
          <t>铝件抛光(委外)</t>
        </is>
      </c>
      <c r="D48" s="118" t="n">
        <v>1133</v>
      </c>
      <c r="E48" s="118" t="inlineStr">
        <is>
          <t>件</t>
        </is>
      </c>
      <c r="F48" s="119" t="n">
        <v>2148.31</v>
      </c>
      <c r="G48" s="127" t="inlineStr">
        <is>
          <t>2025-05-24</t>
        </is>
      </c>
      <c r="H48" s="128" t="inlineStr">
        <is>
          <t>进行中</t>
        </is>
      </c>
    </row>
    <row r="51" ht="30" customHeight="1" s="96">
      <c r="A51" s="129" t="inlineStr">
        <is>
          <t>VBA宏操作指南 - 快捷功能说明</t>
        </is>
      </c>
      <c r="B51" s="130" t="n"/>
      <c r="C51" s="130" t="n"/>
      <c r="D51" s="130" t="n"/>
      <c r="E51" s="130" t="n"/>
      <c r="F51" s="130" t="n"/>
      <c r="G51" s="130" t="n"/>
      <c r="H51" s="107" t="n"/>
    </row>
    <row r="52" ht="15" customHeight="1" s="96">
      <c r="A52" s="131" t="inlineStr">
        <is>
          <t>[第一步] 启用Excel宏功能</t>
        </is>
      </c>
    </row>
    <row r="53" ht="15" customHeight="1" s="96">
      <c r="A53" s="132" t="inlineStr">
        <is>
          <t>1. 将本文件另存为 .xlsm 格式（文件 -&gt; 另存为 -&gt; 类型选择"Excel 启用宏的工作簿(*.xlsm)"）</t>
        </is>
      </c>
    </row>
    <row r="54" ht="15" customHeight="1" s="96">
      <c r="A54" s="132" t="inlineStr">
        <is>
          <t>2. 按 Alt+F11 打开VBA编辑器（或：开发工具 -&gt; Visual Basic）</t>
        </is>
      </c>
    </row>
    <row r="55" ht="15" customHeight="1" s="96">
      <c r="A55" s="132" t="inlineStr">
        <is>
          <t>3. 在VBA编辑器中：右键点击"VBAProject" -&gt; 导入文件 -&gt; 选择随附的 VBA宏代码.bas 文件</t>
        </is>
      </c>
    </row>
    <row r="56" ht="15" customHeight="1" s="96">
      <c r="A56" s="132" t="inlineStr">
        <is>
          <t>4. 关闭VBA编辑器，按 Alt+F8 即可运行宏（或：开发工具 -&gt; 宏 -&gt; 选择要运行的宏 -&gt; 执行）</t>
        </is>
      </c>
    </row>
    <row r="57" ht="15" customHeight="1" s="96">
      <c r="A57" s="133" t="inlineStr">
        <is>
          <t>注意：首次使用前请先运行"OneKeyInit"一键初始化，清除模拟数据并录入真实信息！</t>
        </is>
      </c>
    </row>
    <row r="59" ht="15" customHeight="1" s="96">
      <c r="A59" s="131" t="inlineStr">
        <is>
          <t>[第二步] 可用的VBA宏功能（共7个）</t>
        </is>
      </c>
    </row>
    <row r="60" ht="15" customHeight="1" s="96">
      <c r="A60" s="134" t="inlineStr">
        <is>
          <t>宏名称</t>
        </is>
      </c>
      <c r="B60" s="135" t="n"/>
      <c r="C60" s="134" t="inlineStr">
        <is>
          <t>功能说明</t>
        </is>
      </c>
      <c r="D60" s="135" t="n"/>
      <c r="E60" s="134" t="inlineStr">
        <is>
          <t>操作描述</t>
        </is>
      </c>
      <c r="F60" s="136" t="n"/>
      <c r="G60" s="136" t="n"/>
      <c r="H60" s="135" t="n"/>
    </row>
    <row r="61" ht="15" customHeight="1" s="96">
      <c r="A61" s="137" t="inlineStr">
        <is>
          <t>OneKeyInit</t>
        </is>
      </c>
      <c r="B61" s="135" t="n"/>
      <c r="C61" s="138" t="inlineStr">
        <is>
          <t>一键初始化</t>
        </is>
      </c>
      <c r="D61" s="135" t="n"/>
      <c r="E61" s="139" t="inlineStr">
        <is>
          <t>清除模拟数据，输入公司名称、启用月份、银行期初余额，快速开始使用</t>
        </is>
      </c>
      <c r="F61" s="136" t="n"/>
      <c r="G61" s="136" t="n"/>
      <c r="H61" s="135" t="n"/>
    </row>
    <row r="62" ht="15" customHeight="1" s="96">
      <c r="A62" s="137" t="inlineStr">
        <is>
          <t>QuickAddOrder</t>
        </is>
      </c>
      <c r="B62" s="135" t="n"/>
      <c r="C62" s="138" t="inlineStr">
        <is>
          <t>新增订单</t>
        </is>
      </c>
      <c r="D62" s="135" t="n"/>
      <c r="E62" s="139" t="inlineStr">
        <is>
          <t>弹窗输入日期/客户/产品/数量/单价，自动计算金额税额，写入加工订单表</t>
        </is>
      </c>
      <c r="F62" s="136" t="n"/>
      <c r="G62" s="136" t="n"/>
      <c r="H62" s="135" t="n"/>
    </row>
    <row r="63" ht="15" customHeight="1" s="96">
      <c r="A63" s="137" t="inlineStr">
        <is>
          <t>QuickAddReceipt</t>
        </is>
      </c>
      <c r="B63" s="135" t="n"/>
      <c r="C63" s="138" t="inlineStr">
        <is>
          <t>新增收款</t>
        </is>
      </c>
      <c r="D63" s="135" t="n"/>
      <c r="E63" s="139" t="inlineStr">
        <is>
          <t>弹窗输入日期/客户/金额/方式，自动生成单据号，写入收款记录表</t>
        </is>
      </c>
      <c r="F63" s="136" t="n"/>
      <c r="G63" s="136" t="n"/>
      <c r="H63" s="135" t="n"/>
    </row>
    <row r="64" ht="15" customHeight="1" s="96">
      <c r="A64" s="137" t="inlineStr">
        <is>
          <t>QuickAddPayment</t>
        </is>
      </c>
      <c r="B64" s="135" t="n"/>
      <c r="C64" s="138" t="inlineStr">
        <is>
          <t>新增付款</t>
        </is>
      </c>
      <c r="D64" s="135" t="n"/>
      <c r="E64" s="139" t="inlineStr">
        <is>
          <t>弹窗输入日期/供应商/金额/方式，自动生成单据号，写入付款记录表</t>
        </is>
      </c>
      <c r="F64" s="136" t="n"/>
      <c r="G64" s="136" t="n"/>
      <c r="H64" s="135" t="n"/>
    </row>
    <row r="65" ht="15" customHeight="1" s="96">
      <c r="A65" s="137" t="inlineStr">
        <is>
          <t>BackupData</t>
        </is>
      </c>
      <c r="B65" s="135" t="n"/>
      <c r="C65" s="138" t="inlineStr">
        <is>
          <t>月度数据备份</t>
        </is>
      </c>
      <c r="D65" s="135" t="n"/>
      <c r="E65" s="139" t="inlineStr">
        <is>
          <t>将当前数据备份到一个新工作表（按日期命名），防止数据丢失</t>
        </is>
      </c>
      <c r="F65" s="136" t="n"/>
      <c r="G65" s="136" t="n"/>
      <c r="H65" s="135" t="n"/>
    </row>
    <row r="66" ht="15" customHeight="1" s="96">
      <c r="A66" s="137" t="inlineStr">
        <is>
          <t>ClearHistory</t>
        </is>
      </c>
      <c r="B66" s="135" t="n"/>
      <c r="C66" s="138" t="inlineStr">
        <is>
          <t>清除历史数据</t>
        </is>
      </c>
      <c r="D66" s="135" t="n"/>
      <c r="E66" s="139" t="inlineStr">
        <is>
          <t>清除所有业务数据（保留基础设置和表头），用于新期间开始</t>
        </is>
      </c>
      <c r="F66" s="136" t="n"/>
      <c r="G66" s="136" t="n"/>
      <c r="H66" s="135" t="n"/>
    </row>
    <row r="67" ht="15" customHeight="1" s="96">
      <c r="A67" s="137" t="inlineStr">
        <is>
          <t>RefreshData</t>
        </is>
      </c>
      <c r="B67" s="135" t="n"/>
      <c r="C67" s="138" t="inlineStr">
        <is>
          <t>刷新仪表盘</t>
        </is>
      </c>
      <c r="D67" s="135" t="n"/>
      <c r="E67" s="139" t="inlineStr">
        <is>
          <t>强制重新计算所有公式，确保仪表盘数据最新</t>
        </is>
      </c>
      <c r="F67" s="136" t="n"/>
      <c r="G67" s="136" t="n"/>
      <c r="H67" s="135" t="n"/>
    </row>
    <row r="69" ht="15" customHeight="1" s="96">
      <c r="A69" s="131" t="inlineStr">
        <is>
          <t>[推荐使用流程]</t>
        </is>
      </c>
    </row>
    <row r="70" ht="15" customHeight="1" s="96">
      <c r="A70" s="132" t="inlineStr">
        <is>
          <t>1. 首次使用：运行 OneKeyInit（一键初始化）-&gt; 输入公司名称、启用月份、银行余额</t>
        </is>
      </c>
    </row>
    <row r="71" ht="15" customHeight="1" s="96">
      <c r="A71" s="132" t="inlineStr">
        <is>
          <t>2. 录入基础信息：在【基础设置】工作表中录入客户、供应商、员工信息</t>
        </is>
      </c>
    </row>
    <row r="72" ht="15" customHeight="1" s="96">
      <c r="A72" s="132" t="inlineStr">
        <is>
          <t>3. 日常录入：运行 QuickAddOrder（新增订单）、QuickAddReceipt（新增收款）、QuickAddPayment（新增付款）</t>
        </is>
      </c>
    </row>
    <row r="73" ht="15" customHeight="1" s="96">
      <c r="A73" s="132" t="inlineStr">
        <is>
          <t>4. 月末操作：运行 BackupData（月度备份）-&gt; 查看利润表/资产负债表 -&gt; 打印对账单</t>
        </is>
      </c>
    </row>
    <row r="74" ht="15" customHeight="1" s="96">
      <c r="A74" s="132" t="inlineStr">
        <is>
          <t>5. 新期间开始：运行 ClearHistory（清除历史数据）-&gt; 重新录入新期间数据</t>
        </is>
      </c>
    </row>
    <row r="75" ht="15" customHeight="1" s="96">
      <c r="A75" s="132" t="inlineStr">
        <is>
          <t>6. 随时刷新：运行 RefreshData（刷新仪表盘）确保数据最新</t>
        </is>
      </c>
    </row>
  </sheetData>
  <mergeCells count="56">
    <mergeCell ref="C6:D6"/>
    <mergeCell ref="C62:D62"/>
    <mergeCell ref="A64:B64"/>
    <mergeCell ref="A59:H59"/>
    <mergeCell ref="A60:B60"/>
    <mergeCell ref="E61:H61"/>
    <mergeCell ref="A73:H73"/>
    <mergeCell ref="A51:H51"/>
    <mergeCell ref="A1:H1"/>
    <mergeCell ref="C64:D64"/>
    <mergeCell ref="A61:B61"/>
    <mergeCell ref="A6:B6"/>
    <mergeCell ref="A8:B9"/>
    <mergeCell ref="C8:D9"/>
    <mergeCell ref="E66:H66"/>
    <mergeCell ref="A70:H70"/>
    <mergeCell ref="A4:B5"/>
    <mergeCell ref="G4:H5"/>
    <mergeCell ref="C10:D10"/>
    <mergeCell ref="A69:H69"/>
    <mergeCell ref="A65:B65"/>
    <mergeCell ref="C63:D63"/>
    <mergeCell ref="A54:H54"/>
    <mergeCell ref="C65:D65"/>
    <mergeCell ref="A66:B66"/>
    <mergeCell ref="E62:H62"/>
    <mergeCell ref="G6:H6"/>
    <mergeCell ref="A37:H37"/>
    <mergeCell ref="A75:H75"/>
    <mergeCell ref="E67:H67"/>
    <mergeCell ref="A74:H74"/>
    <mergeCell ref="A56:H56"/>
    <mergeCell ref="E6:F6"/>
    <mergeCell ref="A55:H55"/>
    <mergeCell ref="C60:D60"/>
    <mergeCell ref="E64:H64"/>
    <mergeCell ref="A57:H57"/>
    <mergeCell ref="A2:H2"/>
    <mergeCell ref="A71:H71"/>
    <mergeCell ref="C61:D61"/>
    <mergeCell ref="E63:H63"/>
    <mergeCell ref="A62:B62"/>
    <mergeCell ref="C4:D5"/>
    <mergeCell ref="E60:H60"/>
    <mergeCell ref="E4:F5"/>
    <mergeCell ref="A53:H53"/>
    <mergeCell ref="E65:H65"/>
    <mergeCell ref="A12:D12"/>
    <mergeCell ref="C67:D67"/>
    <mergeCell ref="A63:B63"/>
    <mergeCell ref="A26:D26"/>
    <mergeCell ref="A10:B10"/>
    <mergeCell ref="A52:H52"/>
    <mergeCell ref="A72:H72"/>
    <mergeCell ref="C66:D66"/>
    <mergeCell ref="A67:B67"/>
  </mergeCells>
  <conditionalFormatting sqref="D4:D24">
    <cfRule type="expression" rank="0" priority="2" equalAverage="0" aboveAverage="0" dxfId="0" text="" percent="0" bottom="0">
      <formula>SEARCH("低库存",D4)&gt;0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tabColor rgb="FFFF6B6B"/>
    <outlinePr summaryBelow="1" summaryRight="1"/>
    <pageSetUpPr fitToPage="0"/>
  </sheetPr>
  <dimension ref="A1:A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80" customWidth="1" style="95" min="1" max="1"/>
  </cols>
  <sheetData>
    <row r="1" ht="15" customHeight="1" s="96">
      <c r="A1" s="140" t="inlineStr">
        <is>
          <t>氧化加工厂管理系统 V15.0 - 使用说明</t>
        </is>
      </c>
    </row>
    <row r="2" ht="15" customHeight="1" s="96">
      <c r="A2" s="141" t="n"/>
    </row>
    <row r="3" ht="15" customHeight="1" s="96">
      <c r="A3" s="142" t="inlineStr">
        <is>
          <t>【业务流程】</t>
        </is>
      </c>
    </row>
    <row r="4" ht="15" customHeight="1" s="96">
      <c r="A4" s="143" t="inlineStr">
        <is>
          <t>客户来料 -&gt; 喷砂/拉丝/抛光(可委外) -&gt; 氧化(最终工序) -&gt; 完工 -&gt; 收取加工费</t>
        </is>
      </c>
    </row>
    <row r="5" ht="15" customHeight="1" s="96">
      <c r="A5" s="143" t="n"/>
    </row>
    <row r="6" ht="15" customHeight="1" s="96">
      <c r="A6" s="142" t="inlineStr">
        <is>
          <t>【计价方式】支持6种：按件、按条、按只、按个、按米长、按米重、按平方</t>
        </is>
      </c>
    </row>
    <row r="7" ht="15" customHeight="1" s="96">
      <c r="A7" s="143" t="n"/>
    </row>
    <row r="8" ht="15" customHeight="1" s="96">
      <c r="A8" s="142" t="inlineStr">
        <is>
          <t>【收付款方式】</t>
        </is>
      </c>
    </row>
    <row r="9" ht="15" customHeight="1" s="96">
      <c r="A9" s="143" t="inlineStr">
        <is>
          <t>客户付款不与订单一一对应，按实际发生记录</t>
        </is>
      </c>
    </row>
    <row r="10" ht="15" customHeight="1" s="96">
      <c r="A10" s="143" t="inlineStr">
        <is>
          <t>付供应商也不一一对应，按实际发生记录</t>
        </is>
      </c>
    </row>
    <row r="11" ht="15" customHeight="1" s="96">
      <c r="A11" s="141" t="inlineStr">
        <is>
          <t>G银行 = 有票（对公账户，大部分收支走这里）</t>
        </is>
      </c>
    </row>
    <row r="12" ht="15" customHeight="1" s="96">
      <c r="A12" s="141" t="inlineStr">
        <is>
          <t>N银行/微信 = 当现金用（零星收支）</t>
        </is>
      </c>
    </row>
    <row r="13" ht="15" customHeight="1" s="96">
      <c r="A13" s="143" t="n"/>
    </row>
    <row r="14" ht="15" customHeight="1" s="96">
      <c r="A14" s="142" t="inlineStr">
        <is>
          <t>【费用科目】</t>
        </is>
      </c>
    </row>
    <row r="15" ht="15" customHeight="1" s="96">
      <c r="A15" s="143" t="inlineStr">
        <is>
          <t>房租、水电费、三酸(硫酸/硝酸/铬酸)、片碱、亚硝酸钠、色粉、除油剂、挂具、外发加工费、工资、日常费用</t>
        </is>
      </c>
    </row>
    <row r="16" ht="15" customHeight="1" s="96">
      <c r="A16" s="143" t="n"/>
    </row>
    <row r="17" ht="15" customHeight="1" s="96">
      <c r="A17" s="142" t="inlineStr">
        <is>
          <t>【小会计操作指南】</t>
        </is>
      </c>
    </row>
    <row r="18" ht="15" customHeight="1" s="96">
      <c r="A18" s="141" t="inlineStr">
        <is>
          <t>1. 日常：在【加工订单】录入新订单，在【收款记录】【付款记录】录入收付款</t>
        </is>
      </c>
    </row>
    <row r="19" ht="15" customHeight="1" s="96">
      <c r="A19" s="141" t="inlineStr">
        <is>
          <t>2. 月末：在【G银行】【N银行微信】核对银行流水</t>
        </is>
      </c>
    </row>
    <row r="20" ht="15" customHeight="1" s="96">
      <c r="A20" s="141" t="inlineStr">
        <is>
          <t>3. 报表：查看【利润表】【资产负债表】（自动计算）</t>
        </is>
      </c>
    </row>
    <row r="21" ht="15" customHeight="1" s="96">
      <c r="A21" s="141" t="inlineStr">
        <is>
          <t>4. 对账：在【客户对账单】核对客户应收，在【供应商对账单】核对供应商应付，在【发票管理】管理发票</t>
        </is>
      </c>
    </row>
    <row r="22" ht="15" customHeight="1" s="96">
      <c r="A22" s="141" t="inlineStr">
        <is>
          <t>5. 库存：在【材料库存】查看化工材料库存预警</t>
        </is>
      </c>
    </row>
    <row r="23" ht="15" customHeight="1" s="96">
      <c r="A23" s="141" t="inlineStr">
        <is>
          <t>6. 校验：在【数据校验】检查数据一致性</t>
        </is>
      </c>
    </row>
    <row r="24" ht="15" customHeight="1" s="96">
      <c r="A24" s="141" t="inlineStr">
        <is>
          <t>7. 进度：在【生产进度跟踪】跟踪每笔订单的生产状态</t>
        </is>
      </c>
    </row>
    <row r="25" ht="15" customHeight="1" s="96">
      <c r="A25" s="141" t="inlineStr">
        <is>
          <t>8. 分析：在【年度对比分析】查看各月经营数据对比</t>
        </is>
      </c>
    </row>
    <row r="26" ht="15" customHeight="1" s="96">
      <c r="A26" s="141" t="inlineStr">
        <is>
          <t>9. 打印：在【打印模板】打印对账单、利润表、工资表</t>
        </is>
      </c>
    </row>
    <row r="27" ht="15" customHeight="1" s="96">
      <c r="A27" s="141" t="inlineStr">
        <is>
          <t>10. 照做：参照已有模拟数据格式录入即可</t>
        </is>
      </c>
    </row>
    <row r="28" ht="15" customHeight="1" s="96">
      <c r="A28" s="143" t="n"/>
    </row>
    <row r="29" ht="15" customHeight="1" s="96">
      <c r="A29" s="142" t="inlineStr">
        <is>
          <t>【V13.0 VBA宏功能】（新增）</t>
        </is>
      </c>
    </row>
    <row r="30" ht="15" customHeight="1" s="96">
      <c r="A30" s="143" t="inlineStr">
        <is>
          <t>本版本新增VBA宏支持，提供7个快捷功能按钮，大幅提升操作效率：</t>
        </is>
      </c>
    </row>
    <row r="31" ht="15" customHeight="1" s="96">
      <c r="A31" s="141" t="inlineStr">
        <is>
          <t xml:space="preserve">  - 一键初始化(OneKeyInit)：清除模拟数据，输入公司名称和银行余额，快速开始</t>
        </is>
      </c>
    </row>
    <row r="32" ht="15" customHeight="1" s="96">
      <c r="A32" s="141" t="inlineStr">
        <is>
          <t xml:space="preserve">  - 新增订单(QuickAddOrder)：弹窗录入订单，自动计算金额税额</t>
        </is>
      </c>
    </row>
    <row r="33" ht="15" customHeight="1" s="96">
      <c r="A33" s="141" t="inlineStr">
        <is>
          <t xml:space="preserve">  - 新增收款(QuickAddReceipt)：弹窗录入收款，自动生成单据号</t>
        </is>
      </c>
    </row>
    <row r="34" ht="15" customHeight="1" s="96">
      <c r="A34" s="141" t="inlineStr">
        <is>
          <t xml:space="preserve">  - 新增付款(QuickAddPayment)：弹窗录入付款，自动生成单据号</t>
        </is>
      </c>
    </row>
    <row r="35" ht="15" customHeight="1" s="96">
      <c r="A35" s="141" t="inlineStr">
        <is>
          <t xml:space="preserve">  - 月度备份(BackupData)：一键备份当前数据到新工作表</t>
        </is>
      </c>
    </row>
    <row r="36" ht="15" customHeight="1" s="96">
      <c r="A36" s="141" t="inlineStr">
        <is>
          <t xml:space="preserve">  - 清除历史(ClearHistory)：清除业务数据，保留基础设置</t>
        </is>
      </c>
    </row>
    <row r="37" ht="15" customHeight="1" s="96">
      <c r="A37" s="141" t="inlineStr">
        <is>
          <t xml:space="preserve">  - 刷新数据(RefreshData)：强制重新计算所有公式</t>
        </is>
      </c>
    </row>
    <row r="38" ht="15" customHeight="1" s="96">
      <c r="A38" s="143" t="n"/>
    </row>
    <row r="39" ht="15" customHeight="1" s="96">
      <c r="A39" s="142" t="inlineStr">
        <is>
          <t>【如何启用VBA宏】</t>
        </is>
      </c>
    </row>
    <row r="40" ht="15" customHeight="1" s="96">
      <c r="A40" s="141" t="inlineStr">
        <is>
          <t>1. 将本文件另存为 .xlsm 格式（文件 -&gt; 另存为 -&gt; Excel 启用宏的工作簿）</t>
        </is>
      </c>
    </row>
    <row r="41" ht="15" customHeight="1" s="96">
      <c r="A41" s="141" t="inlineStr">
        <is>
          <t>2. 按 Alt+F11 打开VBA编辑器</t>
        </is>
      </c>
    </row>
    <row r="42" ht="15" customHeight="1" s="96">
      <c r="A42" s="141" t="inlineStr">
        <is>
          <t>3. 在VBA编辑器中：右键"VBAProject" -&gt; 导入文件 -&gt; 选择随附的"VBA宏代码.bas"</t>
        </is>
      </c>
    </row>
    <row r="43" ht="15" customHeight="1" s="96">
      <c r="A43" s="141" t="inlineStr">
        <is>
          <t>4. 按 Alt+F8 选择并运行宏</t>
        </is>
      </c>
    </row>
    <row r="44" ht="15" customHeight="1" s="96">
      <c r="A44" s="143" t="inlineStr">
        <is>
          <t>详细说明请查看【首页仪表盘】底部的"VBA宏操作指南"区域</t>
        </is>
      </c>
    </row>
    <row r="45" ht="15" customHeight="1" s="96">
      <c r="A45" s="143" t="n"/>
    </row>
    <row r="46" ht="15" customHeight="1" s="96">
      <c r="A46" s="142" t="inlineStr">
        <is>
          <t>【V12.0 改进说明】</t>
        </is>
      </c>
    </row>
    <row r="47" ht="15" customHeight="1" s="96">
      <c r="A47" s="143" t="inlineStr">
        <is>
          <t>冻结窗格：滚动时表头始终可见，方便查看大量数据</t>
        </is>
      </c>
    </row>
    <row r="48" ht="15" customHeight="1" s="96">
      <c r="A48" s="143" t="inlineStr">
        <is>
          <t>条件格式：异常数据自动变色预警（进行中=黄色、待加工=橙色、已取消=灰色、低库存=红色）</t>
        </is>
      </c>
    </row>
    <row r="49" ht="15" customHeight="1" s="96">
      <c r="A49" s="143" t="inlineStr">
        <is>
          <t>自动编号：新增订单/收付款时自动生成编号（模板行示例）</t>
        </is>
      </c>
    </row>
    <row r="50" ht="15" customHeight="1" s="96">
      <c r="A50" s="143" t="inlineStr">
        <is>
          <t>应收账龄：按逾期天数分类统计，快速了解欠款风险</t>
        </is>
      </c>
    </row>
    <row r="51" ht="15" customHeight="1" s="96">
      <c r="A51" s="143" t="inlineStr">
        <is>
          <t>产品利润：分析各产品订单数和金额排名，找出最赚钱的产品</t>
        </is>
      </c>
    </row>
    <row r="52" ht="15" customHeight="1" s="96">
      <c r="A52" s="143" t="inlineStr">
        <is>
          <t>打印设置：利润表/资产负债表/工资表一键打印，自动适配页面</t>
        </is>
      </c>
    </row>
    <row r="53" ht="15" customHeight="1" s="96">
      <c r="A53" s="143" t="n"/>
    </row>
    <row r="54" ht="15" customHeight="1" s="96">
      <c r="A54" s="142" t="inlineStr">
        <is>
          <t>【工作表清单（共26个）】</t>
        </is>
      </c>
    </row>
    <row r="55" ht="15" customHeight="1" s="96">
      <c r="A55" s="144" t="inlineStr">
        <is>
          <t>首页仪表盘 - 经营关键指标一目了然 + VBA宏操作指南</t>
        </is>
      </c>
    </row>
    <row r="56" ht="15" customHeight="1" s="96">
      <c r="A56" s="144" t="inlineStr">
        <is>
          <t>使用说明 - 本页</t>
        </is>
      </c>
    </row>
    <row r="57" ht="15" customHeight="1" s="96">
      <c r="A57" s="144" t="inlineStr">
        <is>
          <t>基础设置 - 客户/供应商/员工/产品工序</t>
        </is>
      </c>
    </row>
    <row r="58" ht="15" customHeight="1" s="96">
      <c r="A58" s="144" t="inlineStr">
        <is>
          <t>加工订单 - 核心业务，支持6种计价方式</t>
        </is>
      </c>
    </row>
    <row r="59" ht="15" customHeight="1" s="96">
      <c r="A59" s="144" t="inlineStr">
        <is>
          <t>生产进度跟踪 - 每笔订单生产状态跟踪</t>
        </is>
      </c>
    </row>
    <row r="60" ht="15" customHeight="1" s="96">
      <c r="A60" s="144" t="inlineStr">
        <is>
          <t>收款记录 - 客户打款记录，含关联订单/结算状态（V15增强）</t>
        </is>
      </c>
    </row>
    <row r="61" ht="15" customHeight="1" s="96">
      <c r="A61" s="144" t="inlineStr">
        <is>
          <t>付款记录 - 付供应商款，含费用分类/结算状态（V15增强）</t>
        </is>
      </c>
    </row>
    <row r="62" ht="15" customHeight="1" s="96">
      <c r="A62" s="144" t="inlineStr">
        <is>
          <t>资金汇总 - 按渠道/分类/月份汇总资金收支（V15新增）</t>
        </is>
      </c>
    </row>
    <row r="63" ht="15" customHeight="1" s="96">
      <c r="A63" s="144" t="inlineStr">
        <is>
          <t>G银行 - 对公账户流水（有票）</t>
        </is>
      </c>
    </row>
    <row r="64" ht="15" customHeight="1" s="96">
      <c r="A64" s="144" t="inlineStr">
        <is>
          <t>N银行微信 - 当现金用的流水</t>
        </is>
      </c>
    </row>
    <row r="65" ht="15" customHeight="1" s="96">
      <c r="A65" s="144" t="inlineStr">
        <is>
          <t>委外加工 - 喷砂/拉丝/抛光委外</t>
        </is>
      </c>
    </row>
    <row r="66" ht="15" customHeight="1" s="96">
      <c r="A66" s="144" t="inlineStr">
        <is>
          <t>材料库存 - 化工材料库存管理与预警</t>
        </is>
      </c>
    </row>
    <row r="67" ht="15" customHeight="1" s="96">
      <c r="A67" s="144" t="inlineStr">
        <is>
          <t>工资表 - 员工工资+社保+个税</t>
        </is>
      </c>
    </row>
    <row r="68" ht="15" customHeight="1" s="96">
      <c r="A68" s="144" t="inlineStr">
        <is>
          <t>费用明细 - 三酸/片碱/色粉等材料费</t>
        </is>
      </c>
    </row>
    <row r="69" ht="15" customHeight="1" s="96">
      <c r="A69" s="144" t="inlineStr">
        <is>
          <t>客户对账单 - 按客户生成对账单</t>
        </is>
      </c>
    </row>
    <row r="70" ht="15" customHeight="1" s="96">
      <c r="A70" s="144" t="inlineStr">
        <is>
          <t>供应商对账单 - 按供应商生成对账单</t>
        </is>
      </c>
    </row>
    <row r="71" ht="15" customHeight="1" s="96">
      <c r="A71" s="144" t="inlineStr">
        <is>
          <t>税务管理 - 增值税+附加税+所得税</t>
        </is>
      </c>
    </row>
    <row r="72" ht="15" customHeight="1" s="96">
      <c r="A72" s="144" t="inlineStr">
        <is>
          <t>发票管理 - 销项/进项发票管理</t>
        </is>
      </c>
    </row>
    <row r="73" ht="15" customHeight="1" s="96">
      <c r="A73" s="144" t="inlineStr">
        <is>
          <t>利润表 - 会小企02表（自动生成）</t>
        </is>
      </c>
    </row>
    <row r="74" ht="15" customHeight="1" s="96">
      <c r="A74" s="144" t="inlineStr">
        <is>
          <t>资产负债表 - 会小企01表（自动生成）</t>
        </is>
      </c>
    </row>
    <row r="75" ht="15" customHeight="1" s="96">
      <c r="A75" s="144" t="inlineStr">
        <is>
          <t>图表分析 - 收入趋势/成本结构/客户排名+产品利润</t>
        </is>
      </c>
    </row>
    <row r="76" ht="15" customHeight="1" s="96">
      <c r="A76" s="144" t="inlineStr">
        <is>
          <t>月度汇总 - 按月汇总经营数据</t>
        </is>
      </c>
    </row>
    <row r="77" ht="15" customHeight="1" s="96">
      <c r="A77" s="144" t="inlineStr">
        <is>
          <t>年度对比分析 - 各月经营数据同比环比</t>
        </is>
      </c>
    </row>
    <row r="78" ht="15" customHeight="1" s="96">
      <c r="A78" s="144" t="inlineStr">
        <is>
          <t>数据校验 - 关键数据一致性校验</t>
        </is>
      </c>
    </row>
    <row r="79" ht="15" customHeight="1" s="96">
      <c r="A79" s="144" t="inlineStr">
        <is>
          <t>打印模板 - 对账单/利润表/工资表打印版</t>
        </is>
      </c>
    </row>
    <row r="80">
      <c r="A80" s="145" t="inlineStr">
        <is>
          <t>应收应付 - 客户/供应商欠款汇总+账龄分析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tabColor rgb="FF70AD47"/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95" min="1" max="1"/>
    <col width="15" customWidth="1" style="95" min="2" max="2"/>
    <col width="10" customWidth="1" style="95" min="3" max="3"/>
    <col width="8" customWidth="1" style="95" min="4" max="4"/>
    <col width="14" customWidth="1" style="95" min="5" max="5"/>
  </cols>
  <sheetData>
    <row r="1" ht="15" customHeight="1" s="96">
      <c r="A1" s="146" t="inlineStr">
        <is>
          <t>【客户信息】</t>
        </is>
      </c>
    </row>
    <row r="2" ht="15" customHeight="1" s="96">
      <c r="A2" s="124" t="inlineStr">
        <is>
          <t>客户名称</t>
        </is>
      </c>
      <c r="B2" s="124" t="inlineStr">
        <is>
          <t>联系人</t>
        </is>
      </c>
      <c r="C2" s="124" t="inlineStr">
        <is>
          <t>电话</t>
        </is>
      </c>
      <c r="D2" s="124" t="inlineStr">
        <is>
          <t>结算方式</t>
        </is>
      </c>
    </row>
    <row r="3" ht="15" customHeight="1" s="96">
      <c r="A3" s="147" t="inlineStr">
        <is>
          <t>永达五金厂</t>
        </is>
      </c>
      <c r="B3" s="147" t="inlineStr">
        <is>
          <t>陈总</t>
        </is>
      </c>
      <c r="C3" s="148" t="inlineStr">
        <is>
          <t>13900001111</t>
        </is>
      </c>
      <c r="D3" s="147" t="inlineStr">
        <is>
          <t>月结30天</t>
        </is>
      </c>
    </row>
    <row r="4" ht="15" customHeight="1" s="96">
      <c r="A4" s="149" t="inlineStr">
        <is>
          <t>恒丰铝业</t>
        </is>
      </c>
      <c r="B4" s="149" t="inlineStr">
        <is>
          <t>林经理</t>
        </is>
      </c>
      <c r="C4" s="150" t="inlineStr">
        <is>
          <t>13900002222</t>
        </is>
      </c>
      <c r="D4" s="149" t="inlineStr">
        <is>
          <t>月结30天</t>
        </is>
      </c>
    </row>
    <row r="5" ht="15" customHeight="1" s="96">
      <c r="A5" s="147" t="inlineStr">
        <is>
          <t>鑫达精密</t>
        </is>
      </c>
      <c r="B5" s="147" t="inlineStr">
        <is>
          <t>王总</t>
        </is>
      </c>
      <c r="C5" s="148" t="inlineStr">
        <is>
          <t>13900003333</t>
        </is>
      </c>
      <c r="D5" s="147" t="inlineStr">
        <is>
          <t>月结15天</t>
        </is>
      </c>
    </row>
    <row r="6" ht="15" customHeight="1" s="96">
      <c r="A6" s="149" t="inlineStr">
        <is>
          <t>华泰金属</t>
        </is>
      </c>
      <c r="B6" s="149" t="inlineStr">
        <is>
          <t>赵经理</t>
        </is>
      </c>
      <c r="C6" s="150" t="inlineStr">
        <is>
          <t>13900004444</t>
        </is>
      </c>
      <c r="D6" s="149" t="inlineStr">
        <is>
          <t>现结</t>
        </is>
      </c>
    </row>
    <row r="7" ht="15" customHeight="1" s="96">
      <c r="A7" s="147" t="inlineStr">
        <is>
          <t>博远五金</t>
        </is>
      </c>
      <c r="B7" s="147" t="inlineStr">
        <is>
          <t>刘总</t>
        </is>
      </c>
      <c r="C7" s="148" t="inlineStr">
        <is>
          <t>13900005555</t>
        </is>
      </c>
      <c r="D7" s="147" t="inlineStr">
        <is>
          <t>月结30天</t>
        </is>
      </c>
    </row>
    <row r="8" ht="15" customHeight="1" s="96">
      <c r="A8" s="149" t="inlineStr">
        <is>
          <t>天成铝材</t>
        </is>
      </c>
      <c r="B8" s="149" t="inlineStr">
        <is>
          <t>张经理</t>
        </is>
      </c>
      <c r="C8" s="150" t="inlineStr">
        <is>
          <t>13900006666</t>
        </is>
      </c>
      <c r="D8" s="149" t="inlineStr">
        <is>
          <t>月结15天</t>
        </is>
      </c>
    </row>
    <row r="9" ht="15" customHeight="1" s="96">
      <c r="A9" s="147" t="inlineStr">
        <is>
          <t>宏盛五金</t>
        </is>
      </c>
      <c r="B9" s="147" t="inlineStr">
        <is>
          <t>周总</t>
        </is>
      </c>
      <c r="C9" s="148" t="inlineStr">
        <is>
          <t>13900007777</t>
        </is>
      </c>
      <c r="D9" s="147" t="inlineStr">
        <is>
          <t>月结30天</t>
        </is>
      </c>
    </row>
    <row r="10" ht="15" customHeight="1" s="96">
      <c r="A10" s="149" t="inlineStr">
        <is>
          <t>瑞丰金属</t>
        </is>
      </c>
      <c r="B10" s="149" t="inlineStr">
        <is>
          <t>吴经理</t>
        </is>
      </c>
      <c r="C10" s="150" t="inlineStr">
        <is>
          <t>13900008888</t>
        </is>
      </c>
      <c r="D10" s="149" t="inlineStr">
        <is>
          <t>现结</t>
        </is>
      </c>
    </row>
    <row r="12" ht="15" customHeight="1" s="96">
      <c r="A12" s="146" t="inlineStr">
        <is>
          <t>【供应商信息】</t>
        </is>
      </c>
    </row>
    <row r="13" ht="15" customHeight="1" s="96">
      <c r="A13" s="124" t="inlineStr">
        <is>
          <t>供应商名称</t>
        </is>
      </c>
      <c r="B13" s="124" t="inlineStr">
        <is>
          <t>供应范围</t>
        </is>
      </c>
      <c r="C13" s="124" t="inlineStr">
        <is>
          <t>结算方式</t>
        </is>
      </c>
    </row>
    <row r="14" ht="15" customHeight="1" s="96">
      <c r="A14" s="148" t="inlineStr">
        <is>
          <t>XX化工</t>
        </is>
      </c>
      <c r="B14" s="147" t="inlineStr">
        <is>
          <t>三酸/片碱/亚钠</t>
        </is>
      </c>
      <c r="C14" s="147" t="inlineStr">
        <is>
          <t>月结</t>
        </is>
      </c>
    </row>
    <row r="15" ht="15" customHeight="1" s="96">
      <c r="A15" s="150" t="inlineStr">
        <is>
          <t>YY化工</t>
        </is>
      </c>
      <c r="B15" s="149" t="inlineStr">
        <is>
          <t>色粉/除油剂</t>
        </is>
      </c>
      <c r="C15" s="149" t="inlineStr">
        <is>
          <t>月结</t>
        </is>
      </c>
    </row>
    <row r="16" ht="15" customHeight="1" s="96">
      <c r="A16" s="148" t="inlineStr">
        <is>
          <t>ZZ挂具厂</t>
        </is>
      </c>
      <c r="B16" s="147" t="inlineStr">
        <is>
          <t>挂具</t>
        </is>
      </c>
      <c r="C16" s="147" t="inlineStr">
        <is>
          <t>现结</t>
        </is>
      </c>
    </row>
    <row r="17" ht="15" customHeight="1" s="96">
      <c r="A17" s="150" t="inlineStr">
        <is>
          <t>AA喷砂厂</t>
        </is>
      </c>
      <c r="B17" s="149" t="inlineStr">
        <is>
          <t>喷砂委外加工</t>
        </is>
      </c>
      <c r="C17" s="149" t="inlineStr">
        <is>
          <t>月结</t>
        </is>
      </c>
    </row>
    <row r="18" ht="15" customHeight="1" s="96">
      <c r="A18" s="148" t="inlineStr">
        <is>
          <t>BB抛光厂</t>
        </is>
      </c>
      <c r="B18" s="147" t="inlineStr">
        <is>
          <t>抛光委外加工</t>
        </is>
      </c>
      <c r="C18" s="147" t="inlineStr">
        <is>
          <t>月结</t>
        </is>
      </c>
    </row>
    <row r="20" ht="15" customHeight="1" s="96">
      <c r="A20" s="146" t="inlineStr">
        <is>
          <t>【员工信息】</t>
        </is>
      </c>
    </row>
    <row r="21" ht="15" customHeight="1" s="96">
      <c r="A21" s="124" t="inlineStr">
        <is>
          <t>姓名</t>
        </is>
      </c>
      <c r="B21" s="124" t="inlineStr">
        <is>
          <t>部门</t>
        </is>
      </c>
      <c r="C21" s="124" t="inlineStr">
        <is>
          <t>岗位</t>
        </is>
      </c>
      <c r="D21" s="124" t="inlineStr">
        <is>
          <t>基本工资</t>
        </is>
      </c>
    </row>
    <row r="22" ht="15" customHeight="1" s="96">
      <c r="A22" s="147" t="inlineStr">
        <is>
          <t>张三</t>
        </is>
      </c>
      <c r="B22" s="147" t="inlineStr">
        <is>
          <t>生产部</t>
        </is>
      </c>
      <c r="C22" s="147" t="inlineStr">
        <is>
          <t>操作工</t>
        </is>
      </c>
      <c r="D22" s="151" t="n">
        <v>3800</v>
      </c>
    </row>
    <row r="23" ht="15" customHeight="1" s="96">
      <c r="A23" s="149" t="inlineStr">
        <is>
          <t>李四</t>
        </is>
      </c>
      <c r="B23" s="149" t="inlineStr">
        <is>
          <t>生产部</t>
        </is>
      </c>
      <c r="C23" s="149" t="inlineStr">
        <is>
          <t>操作工</t>
        </is>
      </c>
      <c r="D23" s="152" t="n">
        <v>4000</v>
      </c>
    </row>
    <row r="24" ht="15" customHeight="1" s="96">
      <c r="A24" s="147" t="inlineStr">
        <is>
          <t>王五</t>
        </is>
      </c>
      <c r="B24" s="147" t="inlineStr">
        <is>
          <t>生产部</t>
        </is>
      </c>
      <c r="C24" s="147" t="inlineStr">
        <is>
          <t>班长</t>
        </is>
      </c>
      <c r="D24" s="151" t="n">
        <v>4500</v>
      </c>
    </row>
    <row r="25" ht="15" customHeight="1" s="96">
      <c r="A25" s="149" t="inlineStr">
        <is>
          <t>赵六</t>
        </is>
      </c>
      <c r="B25" s="149" t="inlineStr">
        <is>
          <t>生产部</t>
        </is>
      </c>
      <c r="C25" s="149" t="inlineStr">
        <is>
          <t>操作工</t>
        </is>
      </c>
      <c r="D25" s="152" t="n">
        <v>3800</v>
      </c>
    </row>
    <row r="26" ht="15" customHeight="1" s="96">
      <c r="A26" s="147" t="inlineStr">
        <is>
          <t>陈七</t>
        </is>
      </c>
      <c r="B26" s="147" t="inlineStr">
        <is>
          <t>管理部</t>
        </is>
      </c>
      <c r="C26" s="147" t="inlineStr">
        <is>
          <t>会计</t>
        </is>
      </c>
      <c r="D26" s="151" t="n">
        <v>5000</v>
      </c>
    </row>
    <row r="27" ht="15" customHeight="1" s="96">
      <c r="A27" s="149" t="inlineStr">
        <is>
          <t>刘八</t>
        </is>
      </c>
      <c r="B27" s="149" t="inlineStr">
        <is>
          <t>管理部</t>
        </is>
      </c>
      <c r="C27" s="149" t="inlineStr">
        <is>
          <t>老板</t>
        </is>
      </c>
      <c r="D27" s="152" t="n">
        <v>8000</v>
      </c>
    </row>
    <row r="29" ht="15" customHeight="1" s="96">
      <c r="A29" s="146" t="inlineStr">
        <is>
          <t>【产品与计价】</t>
        </is>
      </c>
    </row>
    <row r="30" ht="15" customHeight="1" s="96">
      <c r="A30" s="124" t="inlineStr">
        <is>
          <t>产品名称</t>
        </is>
      </c>
      <c r="B30" s="124" t="inlineStr">
        <is>
          <t>工序</t>
        </is>
      </c>
      <c r="C30" s="124" t="inlineStr">
        <is>
          <t>计价方式</t>
        </is>
      </c>
      <c r="D30" s="124" t="inlineStr">
        <is>
          <t>单位</t>
        </is>
      </c>
      <c r="E30" s="124" t="inlineStr">
        <is>
          <t>参考单价(元)</t>
        </is>
      </c>
    </row>
    <row r="31" ht="15" customHeight="1" s="96">
      <c r="A31" s="147" t="inlineStr">
        <is>
          <t>铝件氧化-银白</t>
        </is>
      </c>
      <c r="B31" s="147" t="inlineStr">
        <is>
          <t>氧化</t>
        </is>
      </c>
      <c r="C31" s="147" t="inlineStr">
        <is>
          <t>按米重</t>
        </is>
      </c>
      <c r="D31" s="148" t="inlineStr">
        <is>
          <t>kg</t>
        </is>
      </c>
      <c r="E31" s="151" t="n">
        <v>3.5</v>
      </c>
    </row>
    <row r="32" ht="15" customHeight="1" s="96">
      <c r="A32" s="149" t="inlineStr">
        <is>
          <t>铝件氧化-黑色</t>
        </is>
      </c>
      <c r="B32" s="149" t="inlineStr">
        <is>
          <t>氧化</t>
        </is>
      </c>
      <c r="C32" s="149" t="inlineStr">
        <is>
          <t>按米重</t>
        </is>
      </c>
      <c r="D32" s="150" t="inlineStr">
        <is>
          <t>kg</t>
        </is>
      </c>
      <c r="E32" s="152" t="n">
        <v>4</v>
      </c>
    </row>
    <row r="33" ht="15" customHeight="1" s="96">
      <c r="A33" s="147" t="inlineStr">
        <is>
          <t>铝件氧化-香槟</t>
        </is>
      </c>
      <c r="B33" s="147" t="inlineStr">
        <is>
          <t>氧化</t>
        </is>
      </c>
      <c r="C33" s="147" t="inlineStr">
        <is>
          <t>按米重</t>
        </is>
      </c>
      <c r="D33" s="148" t="inlineStr">
        <is>
          <t>kg</t>
        </is>
      </c>
      <c r="E33" s="151" t="n">
        <v>4.5</v>
      </c>
    </row>
    <row r="34" ht="15" customHeight="1" s="96">
      <c r="A34" s="149" t="inlineStr">
        <is>
          <t>铝件氧化-蓝色</t>
        </is>
      </c>
      <c r="B34" s="149" t="inlineStr">
        <is>
          <t>氧化</t>
        </is>
      </c>
      <c r="C34" s="149" t="inlineStr">
        <is>
          <t>按米重</t>
        </is>
      </c>
      <c r="D34" s="150" t="inlineStr">
        <is>
          <t>kg</t>
        </is>
      </c>
      <c r="E34" s="152" t="n">
        <v>5</v>
      </c>
    </row>
    <row r="35" ht="15" customHeight="1" s="96">
      <c r="A35" s="147" t="inlineStr">
        <is>
          <t>铝件喷砂+氧化</t>
        </is>
      </c>
      <c r="B35" s="147" t="inlineStr">
        <is>
          <t>喷砂+氧化</t>
        </is>
      </c>
      <c r="C35" s="147" t="inlineStr">
        <is>
          <t>按件</t>
        </is>
      </c>
      <c r="D35" s="147" t="inlineStr">
        <is>
          <t>件</t>
        </is>
      </c>
      <c r="E35" s="151" t="n">
        <v>2</v>
      </c>
    </row>
    <row r="36" ht="15" customHeight="1" s="96">
      <c r="A36" s="149" t="inlineStr">
        <is>
          <t>铝件拉丝+氧化</t>
        </is>
      </c>
      <c r="B36" s="149" t="inlineStr">
        <is>
          <t>拉丝+氧化</t>
        </is>
      </c>
      <c r="C36" s="149" t="inlineStr">
        <is>
          <t>按件</t>
        </is>
      </c>
      <c r="D36" s="149" t="inlineStr">
        <is>
          <t>件</t>
        </is>
      </c>
      <c r="E36" s="152" t="n">
        <v>2.5</v>
      </c>
    </row>
    <row r="37" ht="15" customHeight="1" s="96">
      <c r="A37" s="147" t="inlineStr">
        <is>
          <t>铝件抛光+氧化</t>
        </is>
      </c>
      <c r="B37" s="147" t="inlineStr">
        <is>
          <t>抛光+氧化</t>
        </is>
      </c>
      <c r="C37" s="147" t="inlineStr">
        <is>
          <t>按件</t>
        </is>
      </c>
      <c r="D37" s="147" t="inlineStr">
        <is>
          <t>件</t>
        </is>
      </c>
      <c r="E37" s="151" t="n">
        <v>3</v>
      </c>
    </row>
    <row r="38" ht="15" customHeight="1" s="96">
      <c r="A38" s="149" t="inlineStr">
        <is>
          <t>铜件氧化</t>
        </is>
      </c>
      <c r="B38" s="149" t="inlineStr">
        <is>
          <t>氧化</t>
        </is>
      </c>
      <c r="C38" s="149" t="inlineStr">
        <is>
          <t>按件</t>
        </is>
      </c>
      <c r="D38" s="149" t="inlineStr">
        <is>
          <t>件</t>
        </is>
      </c>
      <c r="E38" s="152" t="n">
        <v>1.5</v>
      </c>
    </row>
    <row r="39" ht="15" customHeight="1" s="96">
      <c r="A39" s="147" t="inlineStr">
        <is>
          <t>铝板氧化</t>
        </is>
      </c>
      <c r="B39" s="147" t="inlineStr">
        <is>
          <t>氧化</t>
        </is>
      </c>
      <c r="C39" s="147" t="inlineStr">
        <is>
          <t>按平方</t>
        </is>
      </c>
      <c r="D39" s="147" t="inlineStr">
        <is>
          <t>㎡</t>
        </is>
      </c>
      <c r="E39" s="151" t="n">
        <v>25</v>
      </c>
    </row>
    <row r="40" ht="15" customHeight="1" s="96">
      <c r="A40" s="149" t="inlineStr">
        <is>
          <t>铝管氧化</t>
        </is>
      </c>
      <c r="B40" s="149" t="inlineStr">
        <is>
          <t>氧化</t>
        </is>
      </c>
      <c r="C40" s="149" t="inlineStr">
        <is>
          <t>按米长</t>
        </is>
      </c>
      <c r="D40" s="150" t="inlineStr">
        <is>
          <t>m</t>
        </is>
      </c>
      <c r="E40" s="152" t="n">
        <v>1.8</v>
      </c>
    </row>
    <row r="41" ht="15" customHeight="1" s="96">
      <c r="A41" s="147" t="inlineStr">
        <is>
          <t>铝型材氧化-银白</t>
        </is>
      </c>
      <c r="B41" s="147" t="inlineStr">
        <is>
          <t>氧化</t>
        </is>
      </c>
      <c r="C41" s="147" t="inlineStr">
        <is>
          <t>按米长</t>
        </is>
      </c>
      <c r="D41" s="148" t="inlineStr">
        <is>
          <t>m</t>
        </is>
      </c>
      <c r="E41" s="151" t="n">
        <v>2.2</v>
      </c>
    </row>
    <row r="42" ht="15" customHeight="1" s="96">
      <c r="A42" s="149" t="inlineStr">
        <is>
          <t>铝型材氧化-黑色</t>
        </is>
      </c>
      <c r="B42" s="149" t="inlineStr">
        <is>
          <t>氧化</t>
        </is>
      </c>
      <c r="C42" s="149" t="inlineStr">
        <is>
          <t>按米长</t>
        </is>
      </c>
      <c r="D42" s="150" t="inlineStr">
        <is>
          <t>m</t>
        </is>
      </c>
      <c r="E42" s="152" t="n">
        <v>2.8</v>
      </c>
    </row>
    <row r="43" ht="15" customHeight="1" s="96">
      <c r="A43" s="147" t="inlineStr">
        <is>
          <t>铝散热器氧化</t>
        </is>
      </c>
      <c r="B43" s="147" t="inlineStr">
        <is>
          <t>氧化</t>
        </is>
      </c>
      <c r="C43" s="147" t="inlineStr">
        <is>
          <t>按只</t>
        </is>
      </c>
      <c r="D43" s="147" t="inlineStr">
        <is>
          <t>只</t>
        </is>
      </c>
      <c r="E43" s="151" t="n">
        <v>0.8</v>
      </c>
    </row>
    <row r="44" ht="15" customHeight="1" s="96">
      <c r="A44" s="149" t="inlineStr">
        <is>
          <t>铝外壳氧化</t>
        </is>
      </c>
      <c r="B44" s="149" t="inlineStr">
        <is>
          <t>氧化</t>
        </is>
      </c>
      <c r="C44" s="149" t="inlineStr">
        <is>
          <t>按个</t>
        </is>
      </c>
      <c r="D44" s="149" t="inlineStr">
        <is>
          <t>个</t>
        </is>
      </c>
      <c r="E44" s="152" t="n">
        <v>1.2</v>
      </c>
    </row>
    <row r="45" ht="15" customHeight="1" s="96">
      <c r="A45" s="147" t="inlineStr">
        <is>
          <t>铝件喷砂(委外)</t>
        </is>
      </c>
      <c r="B45" s="147" t="inlineStr">
        <is>
          <t>喷砂(委外)</t>
        </is>
      </c>
      <c r="C45" s="147" t="inlineStr">
        <is>
          <t>按件</t>
        </is>
      </c>
      <c r="D45" s="147" t="inlineStr">
        <is>
          <t>件</t>
        </is>
      </c>
      <c r="E45" s="151" t="n">
        <v>1.5</v>
      </c>
    </row>
    <row r="46" ht="15" customHeight="1" s="96">
      <c r="A46" s="149" t="inlineStr">
        <is>
          <t>铝件抛光(委外)</t>
        </is>
      </c>
      <c r="B46" s="149" t="inlineStr">
        <is>
          <t>抛光(委外)</t>
        </is>
      </c>
      <c r="C46" s="149" t="inlineStr">
        <is>
          <t>按件</t>
        </is>
      </c>
      <c r="D46" s="149" t="inlineStr">
        <is>
          <t>件</t>
        </is>
      </c>
      <c r="E46" s="152" t="n">
        <v>2</v>
      </c>
    </row>
  </sheetData>
  <mergeCells count="4">
    <mergeCell ref="A12:H12"/>
    <mergeCell ref="A20:H20"/>
    <mergeCell ref="A1:H1"/>
    <mergeCell ref="A29:H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0">
    <tabColor rgb="FF2F5496"/>
    <outlinePr summaryBelow="1" summaryRight="1"/>
    <pageSetUpPr fitToPage="0"/>
  </sheetPr>
  <dimension ref="A1:L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8" customWidth="1" style="95" min="2" max="2"/>
    <col width="14" customWidth="1" style="95" min="3" max="3"/>
    <col width="22" customWidth="1" style="95" min="4" max="4"/>
    <col width="10" customWidth="1" style="95" min="5" max="5"/>
    <col width="8" customWidth="1" style="95" min="6" max="6"/>
    <col width="6" customWidth="1" style="95" min="7" max="7"/>
    <col width="8" customWidth="1" style="95" min="8" max="8"/>
    <col width="14" customWidth="1" style="95" min="9" max="9"/>
    <col width="10" customWidth="1" style="95" min="10" max="10"/>
    <col width="14" customWidth="1" style="95" min="11" max="11"/>
    <col width="10" customWidth="1" style="95" min="12" max="12"/>
  </cols>
  <sheetData>
    <row r="1" ht="15" customHeight="1" s="96">
      <c r="A1" s="124" t="inlineStr">
        <is>
          <t>日期</t>
        </is>
      </c>
      <c r="B1" s="124" t="inlineStr">
        <is>
          <t>订单号</t>
        </is>
      </c>
      <c r="C1" s="124" t="inlineStr">
        <is>
          <t>客户</t>
        </is>
      </c>
      <c r="D1" s="124" t="inlineStr">
        <is>
          <t>产品名称</t>
        </is>
      </c>
      <c r="E1" s="124" t="inlineStr">
        <is>
          <t>计价方式</t>
        </is>
      </c>
      <c r="F1" s="124" t="inlineStr">
        <is>
          <t>数量</t>
        </is>
      </c>
      <c r="G1" s="124" t="inlineStr">
        <is>
          <t>单位</t>
        </is>
      </c>
      <c r="H1" s="124" t="inlineStr">
        <is>
          <t>单价</t>
        </is>
      </c>
      <c r="I1" s="124" t="inlineStr">
        <is>
          <t>金额(不含税)</t>
        </is>
      </c>
      <c r="J1" s="124" t="inlineStr">
        <is>
          <t>税额(13%)</t>
        </is>
      </c>
      <c r="K1" s="124" t="inlineStr">
        <is>
          <t>价税合计</t>
        </is>
      </c>
      <c r="L1" s="124" t="inlineStr">
        <is>
          <t>状态</t>
        </is>
      </c>
    </row>
    <row r="2" ht="15" customHeight="1" s="96">
      <c r="A2" s="148" t="inlineStr">
        <is>
          <t>2025-03-04</t>
        </is>
      </c>
      <c r="B2" s="148" t="inlineStr">
        <is>
          <t>DD20250304001</t>
        </is>
      </c>
      <c r="C2" s="147" t="inlineStr">
        <is>
          <t>永达五金厂</t>
        </is>
      </c>
      <c r="D2" s="147" t="inlineStr">
        <is>
          <t>铝板氧化</t>
        </is>
      </c>
      <c r="E2" s="147" t="inlineStr">
        <is>
          <t>按平方</t>
        </is>
      </c>
      <c r="F2" s="147" t="n">
        <v>528</v>
      </c>
      <c r="G2" s="147" t="inlineStr">
        <is>
          <t>㎡</t>
        </is>
      </c>
      <c r="H2" s="151" t="n">
        <v>23.2</v>
      </c>
      <c r="I2" s="151" t="n">
        <v>12248.38</v>
      </c>
      <c r="J2" s="151" t="n">
        <v>1592.29</v>
      </c>
      <c r="K2" s="151" t="n">
        <v>13840.67</v>
      </c>
      <c r="L2" s="147" t="inlineStr">
        <is>
          <t>已完成</t>
        </is>
      </c>
    </row>
    <row r="3" ht="15" customHeight="1" s="96">
      <c r="A3" s="150" t="inlineStr">
        <is>
          <t>2025-03-22</t>
        </is>
      </c>
      <c r="B3" s="150" t="inlineStr">
        <is>
          <t>DD20250322002</t>
        </is>
      </c>
      <c r="C3" s="149" t="inlineStr">
        <is>
          <t>恒丰铝业</t>
        </is>
      </c>
      <c r="D3" s="149" t="inlineStr">
        <is>
          <t>铝外壳氧化</t>
        </is>
      </c>
      <c r="E3" s="149" t="inlineStr">
        <is>
          <t>按个</t>
        </is>
      </c>
      <c r="F3" s="149" t="n">
        <v>112</v>
      </c>
      <c r="G3" s="149" t="inlineStr">
        <is>
          <t>个</t>
        </is>
      </c>
      <c r="H3" s="152" t="n">
        <v>1.1</v>
      </c>
      <c r="I3" s="152" t="n">
        <v>123.48</v>
      </c>
      <c r="J3" s="152" t="n">
        <v>16.05</v>
      </c>
      <c r="K3" s="152" t="n">
        <v>139.53</v>
      </c>
      <c r="L3" s="149" t="inlineStr">
        <is>
          <t>已完成</t>
        </is>
      </c>
    </row>
    <row r="4" ht="15" customHeight="1" s="96">
      <c r="A4" s="148" t="inlineStr">
        <is>
          <t>2025-03-17</t>
        </is>
      </c>
      <c r="B4" s="148" t="inlineStr">
        <is>
          <t>DD20250317003</t>
        </is>
      </c>
      <c r="C4" s="147" t="inlineStr">
        <is>
          <t>永达五金厂</t>
        </is>
      </c>
      <c r="D4" s="147" t="inlineStr">
        <is>
          <t>铝件抛光+氧化</t>
        </is>
      </c>
      <c r="E4" s="147" t="inlineStr">
        <is>
          <t>按件</t>
        </is>
      </c>
      <c r="F4" s="147" t="n">
        <v>1446</v>
      </c>
      <c r="G4" s="147" t="inlineStr">
        <is>
          <t>件</t>
        </is>
      </c>
      <c r="H4" s="151" t="n">
        <v>3.12</v>
      </c>
      <c r="I4" s="151" t="n">
        <v>4512.67</v>
      </c>
      <c r="J4" s="151" t="n">
        <v>586.65</v>
      </c>
      <c r="K4" s="151" t="n">
        <v>5099.32</v>
      </c>
      <c r="L4" s="147" t="inlineStr">
        <is>
          <t>进行中</t>
        </is>
      </c>
    </row>
    <row r="5" ht="15" customHeight="1" s="96">
      <c r="A5" s="150" t="inlineStr">
        <is>
          <t>2025-03-08</t>
        </is>
      </c>
      <c r="B5" s="150" t="inlineStr">
        <is>
          <t>DD20250308004</t>
        </is>
      </c>
      <c r="C5" s="149" t="inlineStr">
        <is>
          <t>瑞丰金属</t>
        </is>
      </c>
      <c r="D5" s="149" t="inlineStr">
        <is>
          <t>铝板氧化</t>
        </is>
      </c>
      <c r="E5" s="149" t="inlineStr">
        <is>
          <t>按平方</t>
        </is>
      </c>
      <c r="F5" s="149" t="n">
        <v>1628</v>
      </c>
      <c r="G5" s="149" t="inlineStr">
        <is>
          <t>㎡</t>
        </is>
      </c>
      <c r="H5" s="152" t="n">
        <v>22.53</v>
      </c>
      <c r="I5" s="152" t="n">
        <v>36682.9</v>
      </c>
      <c r="J5" s="152" t="n">
        <v>4768.78</v>
      </c>
      <c r="K5" s="152" t="n">
        <v>41451.68</v>
      </c>
      <c r="L5" s="149" t="inlineStr">
        <is>
          <t>已完成</t>
        </is>
      </c>
    </row>
    <row r="6" ht="15" customHeight="1" s="96">
      <c r="A6" s="148" t="inlineStr">
        <is>
          <t>2025-03-23</t>
        </is>
      </c>
      <c r="B6" s="148" t="inlineStr">
        <is>
          <t>DD20250323005</t>
        </is>
      </c>
      <c r="C6" s="147" t="inlineStr">
        <is>
          <t>宏盛五金</t>
        </is>
      </c>
      <c r="D6" s="147" t="inlineStr">
        <is>
          <t>铝型材氧化-银白</t>
        </is>
      </c>
      <c r="E6" s="147" t="inlineStr">
        <is>
          <t>按米长</t>
        </is>
      </c>
      <c r="F6" s="147" t="n">
        <v>592</v>
      </c>
      <c r="G6" s="148" t="inlineStr">
        <is>
          <t>m</t>
        </is>
      </c>
      <c r="H6" s="151" t="n">
        <v>2.07</v>
      </c>
      <c r="I6" s="151" t="n">
        <v>1228.24</v>
      </c>
      <c r="J6" s="151" t="n">
        <v>159.67</v>
      </c>
      <c r="K6" s="151" t="n">
        <v>1387.91</v>
      </c>
      <c r="L6" s="147" t="inlineStr">
        <is>
          <t>已完成</t>
        </is>
      </c>
    </row>
    <row r="7" ht="15" customHeight="1" s="96">
      <c r="A7" s="150" t="inlineStr">
        <is>
          <t>2025-03-04</t>
        </is>
      </c>
      <c r="B7" s="150" t="inlineStr">
        <is>
          <t>DD20250304006</t>
        </is>
      </c>
      <c r="C7" s="149" t="inlineStr">
        <is>
          <t>恒丰铝业</t>
        </is>
      </c>
      <c r="D7" s="149" t="inlineStr">
        <is>
          <t>铝散热器氧化</t>
        </is>
      </c>
      <c r="E7" s="149" t="inlineStr">
        <is>
          <t>按只</t>
        </is>
      </c>
      <c r="F7" s="149" t="n">
        <v>239</v>
      </c>
      <c r="G7" s="149" t="inlineStr">
        <is>
          <t>只</t>
        </is>
      </c>
      <c r="H7" s="152" t="n">
        <v>0.86</v>
      </c>
      <c r="I7" s="152" t="n">
        <v>204.49</v>
      </c>
      <c r="J7" s="152" t="n">
        <v>26.58</v>
      </c>
      <c r="K7" s="152" t="n">
        <v>231.07</v>
      </c>
      <c r="L7" s="149" t="inlineStr">
        <is>
          <t>待加工</t>
        </is>
      </c>
    </row>
    <row r="8" ht="15" customHeight="1" s="96">
      <c r="A8" s="148" t="inlineStr">
        <is>
          <t>2025-03-09</t>
        </is>
      </c>
      <c r="B8" s="148" t="inlineStr">
        <is>
          <t>DD20250309007</t>
        </is>
      </c>
      <c r="C8" s="147" t="inlineStr">
        <is>
          <t>永达五金厂</t>
        </is>
      </c>
      <c r="D8" s="147" t="inlineStr">
        <is>
          <t>铝件喷砂(委外)</t>
        </is>
      </c>
      <c r="E8" s="147" t="inlineStr">
        <is>
          <t>按件</t>
        </is>
      </c>
      <c r="F8" s="147" t="n">
        <v>1096</v>
      </c>
      <c r="G8" s="147" t="inlineStr">
        <is>
          <t>件</t>
        </is>
      </c>
      <c r="H8" s="151" t="n">
        <v>1.64</v>
      </c>
      <c r="I8" s="151" t="n">
        <v>1799.56</v>
      </c>
      <c r="J8" s="151" t="n">
        <v>233.94</v>
      </c>
      <c r="K8" s="151" t="n">
        <v>2033.5</v>
      </c>
      <c r="L8" s="147" t="inlineStr">
        <is>
          <t>进行中</t>
        </is>
      </c>
    </row>
    <row r="9" ht="15" customHeight="1" s="96">
      <c r="A9" s="150" t="inlineStr">
        <is>
          <t>2025-03-03</t>
        </is>
      </c>
      <c r="B9" s="150" t="inlineStr">
        <is>
          <t>DD20250303008</t>
        </is>
      </c>
      <c r="C9" s="149" t="inlineStr">
        <is>
          <t>博远五金</t>
        </is>
      </c>
      <c r="D9" s="149" t="inlineStr">
        <is>
          <t>铝型材氧化-黑色</t>
        </is>
      </c>
      <c r="E9" s="149" t="inlineStr">
        <is>
          <t>按米长</t>
        </is>
      </c>
      <c r="F9" s="149" t="n">
        <v>1176</v>
      </c>
      <c r="G9" s="150" t="inlineStr">
        <is>
          <t>m</t>
        </is>
      </c>
      <c r="H9" s="152" t="n">
        <v>2.91</v>
      </c>
      <c r="I9" s="152" t="n">
        <v>3427.52</v>
      </c>
      <c r="J9" s="152" t="n">
        <v>445.58</v>
      </c>
      <c r="K9" s="152" t="n">
        <v>3873.1</v>
      </c>
      <c r="L9" s="149" t="inlineStr">
        <is>
          <t>已完成</t>
        </is>
      </c>
    </row>
    <row r="10" ht="15" customHeight="1" s="96">
      <c r="A10" s="148" t="inlineStr">
        <is>
          <t>2025-03-22</t>
        </is>
      </c>
      <c r="B10" s="148" t="inlineStr">
        <is>
          <t>DD20250322009</t>
        </is>
      </c>
      <c r="C10" s="147" t="inlineStr">
        <is>
          <t>华泰金属</t>
        </is>
      </c>
      <c r="D10" s="147" t="inlineStr">
        <is>
          <t>铝管氧化</t>
        </is>
      </c>
      <c r="E10" s="147" t="inlineStr">
        <is>
          <t>按米长</t>
        </is>
      </c>
      <c r="F10" s="147" t="n">
        <v>1971</v>
      </c>
      <c r="G10" s="148" t="inlineStr">
        <is>
          <t>m</t>
        </is>
      </c>
      <c r="H10" s="151" t="n">
        <v>1.93</v>
      </c>
      <c r="I10" s="151" t="n">
        <v>3799.92</v>
      </c>
      <c r="J10" s="151" t="n">
        <v>493.99</v>
      </c>
      <c r="K10" s="151" t="n">
        <v>4293.91</v>
      </c>
      <c r="L10" s="147" t="inlineStr">
        <is>
          <t>已完成</t>
        </is>
      </c>
    </row>
    <row r="11" ht="15" customHeight="1" s="96">
      <c r="A11" s="150" t="inlineStr">
        <is>
          <t>2025-03-13</t>
        </is>
      </c>
      <c r="B11" s="150" t="inlineStr">
        <is>
          <t>DD20250313010</t>
        </is>
      </c>
      <c r="C11" s="149" t="inlineStr">
        <is>
          <t>博远五金</t>
        </is>
      </c>
      <c r="D11" s="149" t="inlineStr">
        <is>
          <t>铝件喷砂(委外)</t>
        </is>
      </c>
      <c r="E11" s="149" t="inlineStr">
        <is>
          <t>按件</t>
        </is>
      </c>
      <c r="F11" s="149" t="n">
        <v>1290</v>
      </c>
      <c r="G11" s="149" t="inlineStr">
        <is>
          <t>件</t>
        </is>
      </c>
      <c r="H11" s="152" t="n">
        <v>1.46</v>
      </c>
      <c r="I11" s="152" t="n">
        <v>1882.69</v>
      </c>
      <c r="J11" s="152" t="n">
        <v>244.75</v>
      </c>
      <c r="K11" s="152" t="n">
        <v>2127.44</v>
      </c>
      <c r="L11" s="149" t="inlineStr">
        <is>
          <t>已完成</t>
        </is>
      </c>
    </row>
    <row r="12" ht="15" customHeight="1" s="96">
      <c r="A12" s="148" t="inlineStr">
        <is>
          <t>2025-03-12</t>
        </is>
      </c>
      <c r="B12" s="148" t="inlineStr">
        <is>
          <t>DD20250312011</t>
        </is>
      </c>
      <c r="C12" s="147" t="inlineStr">
        <is>
          <t>华泰金属</t>
        </is>
      </c>
      <c r="D12" s="147" t="inlineStr">
        <is>
          <t>铝板氧化</t>
        </is>
      </c>
      <c r="E12" s="147" t="inlineStr">
        <is>
          <t>按平方</t>
        </is>
      </c>
      <c r="F12" s="147" t="n">
        <v>1419</v>
      </c>
      <c r="G12" s="147" t="inlineStr">
        <is>
          <t>㎡</t>
        </is>
      </c>
      <c r="H12" s="151" t="n">
        <v>25.92</v>
      </c>
      <c r="I12" s="151" t="n">
        <v>36777.27</v>
      </c>
      <c r="J12" s="151" t="n">
        <v>4781.05</v>
      </c>
      <c r="K12" s="151" t="n">
        <v>41558.32</v>
      </c>
      <c r="L12" s="147" t="inlineStr">
        <is>
          <t>已完成</t>
        </is>
      </c>
    </row>
    <row r="13" ht="15" customHeight="1" s="96">
      <c r="A13" s="150" t="inlineStr">
        <is>
          <t>2025-03-20</t>
        </is>
      </c>
      <c r="B13" s="150" t="inlineStr">
        <is>
          <t>DD20250320012</t>
        </is>
      </c>
      <c r="C13" s="149" t="inlineStr">
        <is>
          <t>鑫达精密</t>
        </is>
      </c>
      <c r="D13" s="149" t="inlineStr">
        <is>
          <t>铜件氧化</t>
        </is>
      </c>
      <c r="E13" s="149" t="inlineStr">
        <is>
          <t>按件</t>
        </is>
      </c>
      <c r="F13" s="149" t="n">
        <v>369</v>
      </c>
      <c r="G13" s="149" t="inlineStr">
        <is>
          <t>件</t>
        </is>
      </c>
      <c r="H13" s="152" t="n">
        <v>1.46</v>
      </c>
      <c r="I13" s="152" t="n">
        <v>540.16</v>
      </c>
      <c r="J13" s="152" t="n">
        <v>70.22</v>
      </c>
      <c r="K13" s="152" t="n">
        <v>610.38</v>
      </c>
      <c r="L13" s="149" t="inlineStr">
        <is>
          <t>待加工</t>
        </is>
      </c>
    </row>
    <row r="14" ht="15" customHeight="1" s="96">
      <c r="A14" s="148" t="inlineStr">
        <is>
          <t>2025-03-08</t>
        </is>
      </c>
      <c r="B14" s="148" t="inlineStr">
        <is>
          <t>DD20250308013</t>
        </is>
      </c>
      <c r="C14" s="147" t="inlineStr">
        <is>
          <t>天成铝材</t>
        </is>
      </c>
      <c r="D14" s="147" t="inlineStr">
        <is>
          <t>铝件氧化-黑色</t>
        </is>
      </c>
      <c r="E14" s="147" t="inlineStr">
        <is>
          <t>按米重</t>
        </is>
      </c>
      <c r="F14" s="147" t="n">
        <v>497</v>
      </c>
      <c r="G14" s="148" t="inlineStr">
        <is>
          <t>kg</t>
        </is>
      </c>
      <c r="H14" s="151" t="n">
        <v>3.63</v>
      </c>
      <c r="I14" s="151" t="n">
        <v>1801.96</v>
      </c>
      <c r="J14" s="151" t="n">
        <v>234.25</v>
      </c>
      <c r="K14" s="151" t="n">
        <v>2036.21</v>
      </c>
      <c r="L14" s="147" t="inlineStr">
        <is>
          <t>已完成</t>
        </is>
      </c>
    </row>
    <row r="15" ht="15" customHeight="1" s="96">
      <c r="A15" s="150" t="inlineStr">
        <is>
          <t>2025-03-13</t>
        </is>
      </c>
      <c r="B15" s="150" t="inlineStr">
        <is>
          <t>DD20250313014</t>
        </is>
      </c>
      <c r="C15" s="149" t="inlineStr">
        <is>
          <t>博远五金</t>
        </is>
      </c>
      <c r="D15" s="149" t="inlineStr">
        <is>
          <t>铝件氧化-香槟</t>
        </is>
      </c>
      <c r="E15" s="149" t="inlineStr">
        <is>
          <t>按米重</t>
        </is>
      </c>
      <c r="F15" s="149" t="n">
        <v>461</v>
      </c>
      <c r="G15" s="150" t="inlineStr">
        <is>
          <t>kg</t>
        </is>
      </c>
      <c r="H15" s="152" t="n">
        <v>4.9</v>
      </c>
      <c r="I15" s="152" t="n">
        <v>2258.26</v>
      </c>
      <c r="J15" s="152" t="n">
        <v>293.57</v>
      </c>
      <c r="K15" s="152" t="n">
        <v>2551.83</v>
      </c>
      <c r="L15" s="149" t="inlineStr">
        <is>
          <t>已完成</t>
        </is>
      </c>
    </row>
    <row r="16" ht="15" customHeight="1" s="96">
      <c r="A16" s="148" t="inlineStr">
        <is>
          <t>2025-03-07</t>
        </is>
      </c>
      <c r="B16" s="148" t="inlineStr">
        <is>
          <t>DD20250307015</t>
        </is>
      </c>
      <c r="C16" s="147" t="inlineStr">
        <is>
          <t>瑞丰金属</t>
        </is>
      </c>
      <c r="D16" s="147" t="inlineStr">
        <is>
          <t>铝散热器氧化</t>
        </is>
      </c>
      <c r="E16" s="147" t="inlineStr">
        <is>
          <t>按只</t>
        </is>
      </c>
      <c r="F16" s="147" t="n">
        <v>1775</v>
      </c>
      <c r="G16" s="147" t="inlineStr">
        <is>
          <t>只</t>
        </is>
      </c>
      <c r="H16" s="151" t="n">
        <v>0.82</v>
      </c>
      <c r="I16" s="151" t="n">
        <v>1460.57</v>
      </c>
      <c r="J16" s="151" t="n">
        <v>189.87</v>
      </c>
      <c r="K16" s="151" t="n">
        <v>1650.44</v>
      </c>
      <c r="L16" s="147" t="inlineStr">
        <is>
          <t>已完成</t>
        </is>
      </c>
    </row>
    <row r="17" ht="15" customHeight="1" s="96">
      <c r="A17" s="150" t="inlineStr">
        <is>
          <t>2025-03-09</t>
        </is>
      </c>
      <c r="B17" s="150" t="inlineStr">
        <is>
          <t>DD20250309016</t>
        </is>
      </c>
      <c r="C17" s="149" t="inlineStr">
        <is>
          <t>鑫达精密</t>
        </is>
      </c>
      <c r="D17" s="149" t="inlineStr">
        <is>
          <t>铜件氧化</t>
        </is>
      </c>
      <c r="E17" s="149" t="inlineStr">
        <is>
          <t>按件</t>
        </is>
      </c>
      <c r="F17" s="149" t="n">
        <v>1503</v>
      </c>
      <c r="G17" s="149" t="inlineStr">
        <is>
          <t>件</t>
        </is>
      </c>
      <c r="H17" s="152" t="n">
        <v>1.51</v>
      </c>
      <c r="I17" s="152" t="n">
        <v>2272.07</v>
      </c>
      <c r="J17" s="152" t="n">
        <v>295.37</v>
      </c>
      <c r="K17" s="152" t="n">
        <v>2567.44</v>
      </c>
      <c r="L17" s="149" t="inlineStr">
        <is>
          <t>待加工</t>
        </is>
      </c>
    </row>
    <row r="18" ht="15" customHeight="1" s="96">
      <c r="A18" s="148" t="inlineStr">
        <is>
          <t>2025-03-14</t>
        </is>
      </c>
      <c r="B18" s="148" t="inlineStr">
        <is>
          <t>DD20250314017</t>
        </is>
      </c>
      <c r="C18" s="147" t="inlineStr">
        <is>
          <t>宏盛五金</t>
        </is>
      </c>
      <c r="D18" s="147" t="inlineStr">
        <is>
          <t>铝型材氧化-黑色</t>
        </is>
      </c>
      <c r="E18" s="147" t="inlineStr">
        <is>
          <t>按米长</t>
        </is>
      </c>
      <c r="F18" s="147" t="n">
        <v>478</v>
      </c>
      <c r="G18" s="148" t="inlineStr">
        <is>
          <t>m</t>
        </is>
      </c>
      <c r="H18" s="151" t="n">
        <v>3.08</v>
      </c>
      <c r="I18" s="151" t="n">
        <v>1471.58</v>
      </c>
      <c r="J18" s="151" t="n">
        <v>191.31</v>
      </c>
      <c r="K18" s="151" t="n">
        <v>1662.89</v>
      </c>
      <c r="L18" s="147" t="inlineStr">
        <is>
          <t>待加工</t>
        </is>
      </c>
    </row>
    <row r="19" ht="15" customHeight="1" s="96">
      <c r="A19" s="150" t="inlineStr">
        <is>
          <t>2025-03-16</t>
        </is>
      </c>
      <c r="B19" s="150" t="inlineStr">
        <is>
          <t>DD20250316018</t>
        </is>
      </c>
      <c r="C19" s="149" t="inlineStr">
        <is>
          <t>恒丰铝业</t>
        </is>
      </c>
      <c r="D19" s="149" t="inlineStr">
        <is>
          <t>铝件氧化-黑色</t>
        </is>
      </c>
      <c r="E19" s="149" t="inlineStr">
        <is>
          <t>按米重</t>
        </is>
      </c>
      <c r="F19" s="149" t="n">
        <v>1729</v>
      </c>
      <c r="G19" s="150" t="inlineStr">
        <is>
          <t>kg</t>
        </is>
      </c>
      <c r="H19" s="152" t="n">
        <v>3.72</v>
      </c>
      <c r="I19" s="152" t="n">
        <v>6435.81</v>
      </c>
      <c r="J19" s="152" t="n">
        <v>836.66</v>
      </c>
      <c r="K19" s="152" t="n">
        <v>7272.47</v>
      </c>
      <c r="L19" s="149" t="inlineStr">
        <is>
          <t>已完成</t>
        </is>
      </c>
    </row>
    <row r="20" ht="15" customHeight="1" s="96">
      <c r="A20" s="148" t="inlineStr">
        <is>
          <t>2025-03-26</t>
        </is>
      </c>
      <c r="B20" s="148" t="inlineStr">
        <is>
          <t>DD20250326019</t>
        </is>
      </c>
      <c r="C20" s="147" t="inlineStr">
        <is>
          <t>宏盛五金</t>
        </is>
      </c>
      <c r="D20" s="147" t="inlineStr">
        <is>
          <t>铝件氧化-香槟</t>
        </is>
      </c>
      <c r="E20" s="147" t="inlineStr">
        <is>
          <t>按米重</t>
        </is>
      </c>
      <c r="F20" s="147" t="n">
        <v>800</v>
      </c>
      <c r="G20" s="148" t="inlineStr">
        <is>
          <t>kg</t>
        </is>
      </c>
      <c r="H20" s="151" t="n">
        <v>4.59</v>
      </c>
      <c r="I20" s="151" t="n">
        <v>3669.04</v>
      </c>
      <c r="J20" s="151" t="n">
        <v>476.98</v>
      </c>
      <c r="K20" s="151" t="n">
        <v>4146.02</v>
      </c>
      <c r="L20" s="147" t="inlineStr">
        <is>
          <t>进行中</t>
        </is>
      </c>
    </row>
    <row r="21" ht="15" customHeight="1" s="96">
      <c r="A21" s="150" t="inlineStr">
        <is>
          <t>2025-03-17</t>
        </is>
      </c>
      <c r="B21" s="150" t="inlineStr">
        <is>
          <t>DD20250317020</t>
        </is>
      </c>
      <c r="C21" s="149" t="inlineStr">
        <is>
          <t>博远五金</t>
        </is>
      </c>
      <c r="D21" s="149" t="inlineStr">
        <is>
          <t>铝件氧化-银白</t>
        </is>
      </c>
      <c r="E21" s="149" t="inlineStr">
        <is>
          <t>按米重</t>
        </is>
      </c>
      <c r="F21" s="149" t="n">
        <v>1377</v>
      </c>
      <c r="G21" s="150" t="inlineStr">
        <is>
          <t>kg</t>
        </is>
      </c>
      <c r="H21" s="152" t="n">
        <v>3.23</v>
      </c>
      <c r="I21" s="152" t="n">
        <v>4447.97</v>
      </c>
      <c r="J21" s="152" t="n">
        <v>578.24</v>
      </c>
      <c r="K21" s="152" t="n">
        <v>5026.21</v>
      </c>
      <c r="L21" s="149" t="inlineStr">
        <is>
          <t>待加工</t>
        </is>
      </c>
    </row>
    <row r="22" ht="15" customHeight="1" s="96">
      <c r="A22" s="148" t="inlineStr">
        <is>
          <t>2025-03-25</t>
        </is>
      </c>
      <c r="B22" s="148" t="inlineStr">
        <is>
          <t>DD20250325021</t>
        </is>
      </c>
      <c r="C22" s="147" t="inlineStr">
        <is>
          <t>博远五金</t>
        </is>
      </c>
      <c r="D22" s="147" t="inlineStr">
        <is>
          <t>铝型材氧化-银白</t>
        </is>
      </c>
      <c r="E22" s="147" t="inlineStr">
        <is>
          <t>按米长</t>
        </is>
      </c>
      <c r="F22" s="147" t="n">
        <v>268</v>
      </c>
      <c r="G22" s="148" t="inlineStr">
        <is>
          <t>m</t>
        </is>
      </c>
      <c r="H22" s="151" t="n">
        <v>2.17</v>
      </c>
      <c r="I22" s="151" t="n">
        <v>581.91</v>
      </c>
      <c r="J22" s="151" t="n">
        <v>75.65000000000001</v>
      </c>
      <c r="K22" s="151" t="n">
        <v>657.5599999999999</v>
      </c>
      <c r="L22" s="147" t="inlineStr">
        <is>
          <t>进行中</t>
        </is>
      </c>
    </row>
    <row r="23" ht="15" customHeight="1" s="96">
      <c r="A23" s="150" t="inlineStr">
        <is>
          <t>2025-03-01</t>
        </is>
      </c>
      <c r="B23" s="150" t="inlineStr">
        <is>
          <t>DD20250301022</t>
        </is>
      </c>
      <c r="C23" s="149" t="inlineStr">
        <is>
          <t>博远五金</t>
        </is>
      </c>
      <c r="D23" s="149" t="inlineStr">
        <is>
          <t>铝件拉丝+氧化</t>
        </is>
      </c>
      <c r="E23" s="149" t="inlineStr">
        <is>
          <t>按件</t>
        </is>
      </c>
      <c r="F23" s="149" t="n">
        <v>1040</v>
      </c>
      <c r="G23" s="149" t="inlineStr">
        <is>
          <t>件</t>
        </is>
      </c>
      <c r="H23" s="152" t="n">
        <v>2.3</v>
      </c>
      <c r="I23" s="152" t="n">
        <v>2395.33</v>
      </c>
      <c r="J23" s="152" t="n">
        <v>311.39</v>
      </c>
      <c r="K23" s="152" t="n">
        <v>2706.72</v>
      </c>
      <c r="L23" s="149" t="inlineStr">
        <is>
          <t>已完成</t>
        </is>
      </c>
    </row>
    <row r="24" ht="15" customHeight="1" s="96">
      <c r="A24" s="148" t="inlineStr">
        <is>
          <t>2025-03-27</t>
        </is>
      </c>
      <c r="B24" s="148" t="inlineStr">
        <is>
          <t>DD20250327023</t>
        </is>
      </c>
      <c r="C24" s="147" t="inlineStr">
        <is>
          <t>华泰金属</t>
        </is>
      </c>
      <c r="D24" s="147" t="inlineStr">
        <is>
          <t>铝件喷砂+氧化</t>
        </is>
      </c>
      <c r="E24" s="147" t="inlineStr">
        <is>
          <t>按件</t>
        </is>
      </c>
      <c r="F24" s="147" t="n">
        <v>779</v>
      </c>
      <c r="G24" s="147" t="inlineStr">
        <is>
          <t>件</t>
        </is>
      </c>
      <c r="H24" s="151" t="n">
        <v>1.86</v>
      </c>
      <c r="I24" s="151" t="n">
        <v>1452.54</v>
      </c>
      <c r="J24" s="151" t="n">
        <v>188.83</v>
      </c>
      <c r="K24" s="151" t="n">
        <v>1641.37</v>
      </c>
      <c r="L24" s="147" t="inlineStr">
        <is>
          <t>待加工</t>
        </is>
      </c>
    </row>
    <row r="25" ht="15" customHeight="1" s="96">
      <c r="A25" s="150" t="inlineStr">
        <is>
          <t>2025-03-01</t>
        </is>
      </c>
      <c r="B25" s="150" t="inlineStr">
        <is>
          <t>DD20250301024</t>
        </is>
      </c>
      <c r="C25" s="149" t="inlineStr">
        <is>
          <t>天成铝材</t>
        </is>
      </c>
      <c r="D25" s="149" t="inlineStr">
        <is>
          <t>铝件抛光(委外)</t>
        </is>
      </c>
      <c r="E25" s="149" t="inlineStr">
        <is>
          <t>按件</t>
        </is>
      </c>
      <c r="F25" s="149" t="n">
        <v>88</v>
      </c>
      <c r="G25" s="149" t="inlineStr">
        <is>
          <t>件</t>
        </is>
      </c>
      <c r="H25" s="152" t="n">
        <v>2.17</v>
      </c>
      <c r="I25" s="152" t="n">
        <v>191.1</v>
      </c>
      <c r="J25" s="152" t="n">
        <v>24.84</v>
      </c>
      <c r="K25" s="152" t="n">
        <v>215.94</v>
      </c>
      <c r="L25" s="149" t="inlineStr">
        <is>
          <t>已完成</t>
        </is>
      </c>
    </row>
    <row r="26" ht="15" customHeight="1" s="96">
      <c r="A26" s="148" t="inlineStr">
        <is>
          <t>2025-03-08</t>
        </is>
      </c>
      <c r="B26" s="148" t="inlineStr">
        <is>
          <t>DD20250308025</t>
        </is>
      </c>
      <c r="C26" s="147" t="inlineStr">
        <is>
          <t>永达五金厂</t>
        </is>
      </c>
      <c r="D26" s="147" t="inlineStr">
        <is>
          <t>铜件氧化</t>
        </is>
      </c>
      <c r="E26" s="147" t="inlineStr">
        <is>
          <t>按件</t>
        </is>
      </c>
      <c r="F26" s="147" t="n">
        <v>1762</v>
      </c>
      <c r="G26" s="147" t="inlineStr">
        <is>
          <t>件</t>
        </is>
      </c>
      <c r="H26" s="151" t="n">
        <v>1.63</v>
      </c>
      <c r="I26" s="151" t="n">
        <v>2879.26</v>
      </c>
      <c r="J26" s="151" t="n">
        <v>374.3</v>
      </c>
      <c r="K26" s="151" t="n">
        <v>3253.56</v>
      </c>
      <c r="L26" s="147" t="inlineStr">
        <is>
          <t>已完成</t>
        </is>
      </c>
    </row>
    <row r="27" ht="15" customHeight="1" s="96">
      <c r="A27" s="150" t="inlineStr">
        <is>
          <t>2025-04-18</t>
        </is>
      </c>
      <c r="B27" s="150" t="inlineStr">
        <is>
          <t>DD20250418001</t>
        </is>
      </c>
      <c r="C27" s="149" t="inlineStr">
        <is>
          <t>鑫达精密</t>
        </is>
      </c>
      <c r="D27" s="149" t="inlineStr">
        <is>
          <t>铝外壳氧化</t>
        </is>
      </c>
      <c r="E27" s="149" t="inlineStr">
        <is>
          <t>按个</t>
        </is>
      </c>
      <c r="F27" s="149" t="n">
        <v>299</v>
      </c>
      <c r="G27" s="149" t="inlineStr">
        <is>
          <t>个</t>
        </is>
      </c>
      <c r="H27" s="152" t="n">
        <v>1.15</v>
      </c>
      <c r="I27" s="152" t="n">
        <v>345.04</v>
      </c>
      <c r="J27" s="152" t="n">
        <v>44.86</v>
      </c>
      <c r="K27" s="152" t="n">
        <v>389.9</v>
      </c>
      <c r="L27" s="149" t="inlineStr">
        <is>
          <t>已完成</t>
        </is>
      </c>
    </row>
    <row r="28" ht="15" customHeight="1" s="96">
      <c r="A28" s="148" t="inlineStr">
        <is>
          <t>2025-04-12</t>
        </is>
      </c>
      <c r="B28" s="148" t="inlineStr">
        <is>
          <t>DD20250412002</t>
        </is>
      </c>
      <c r="C28" s="147" t="inlineStr">
        <is>
          <t>华泰金属</t>
        </is>
      </c>
      <c r="D28" s="147" t="inlineStr">
        <is>
          <t>铜件氧化</t>
        </is>
      </c>
      <c r="E28" s="147" t="inlineStr">
        <is>
          <t>按件</t>
        </is>
      </c>
      <c r="F28" s="147" t="n">
        <v>1351</v>
      </c>
      <c r="G28" s="147" t="inlineStr">
        <is>
          <t>件</t>
        </is>
      </c>
      <c r="H28" s="151" t="n">
        <v>1.46</v>
      </c>
      <c r="I28" s="151" t="n">
        <v>1967.2</v>
      </c>
      <c r="J28" s="151" t="n">
        <v>255.74</v>
      </c>
      <c r="K28" s="151" t="n">
        <v>2222.94</v>
      </c>
      <c r="L28" s="147" t="inlineStr">
        <is>
          <t>待加工</t>
        </is>
      </c>
    </row>
    <row r="29" ht="15" customHeight="1" s="96">
      <c r="A29" s="150" t="inlineStr">
        <is>
          <t>2025-04-28</t>
        </is>
      </c>
      <c r="B29" s="150" t="inlineStr">
        <is>
          <t>DD20250428003</t>
        </is>
      </c>
      <c r="C29" s="149" t="inlineStr">
        <is>
          <t>宏盛五金</t>
        </is>
      </c>
      <c r="D29" s="149" t="inlineStr">
        <is>
          <t>铝件喷砂+氧化</t>
        </is>
      </c>
      <c r="E29" s="149" t="inlineStr">
        <is>
          <t>按件</t>
        </is>
      </c>
      <c r="F29" s="149" t="n">
        <v>1855</v>
      </c>
      <c r="G29" s="149" t="inlineStr">
        <is>
          <t>件</t>
        </is>
      </c>
      <c r="H29" s="152" t="n">
        <v>1.89</v>
      </c>
      <c r="I29" s="152" t="n">
        <v>3514.66</v>
      </c>
      <c r="J29" s="152" t="n">
        <v>456.91</v>
      </c>
      <c r="K29" s="152" t="n">
        <v>3971.57</v>
      </c>
      <c r="L29" s="149" t="inlineStr">
        <is>
          <t>已完成</t>
        </is>
      </c>
    </row>
    <row r="30" ht="15" customHeight="1" s="96">
      <c r="A30" s="148" t="inlineStr">
        <is>
          <t>2025-04-26</t>
        </is>
      </c>
      <c r="B30" s="148" t="inlineStr">
        <is>
          <t>DD20250426004</t>
        </is>
      </c>
      <c r="C30" s="147" t="inlineStr">
        <is>
          <t>鑫达精密</t>
        </is>
      </c>
      <c r="D30" s="147" t="inlineStr">
        <is>
          <t>铝外壳氧化</t>
        </is>
      </c>
      <c r="E30" s="147" t="inlineStr">
        <is>
          <t>按个</t>
        </is>
      </c>
      <c r="F30" s="147" t="n">
        <v>98</v>
      </c>
      <c r="G30" s="147" t="inlineStr">
        <is>
          <t>个</t>
        </is>
      </c>
      <c r="H30" s="151" t="n">
        <v>1.26</v>
      </c>
      <c r="I30" s="151" t="n">
        <v>123.16</v>
      </c>
      <c r="J30" s="151" t="n">
        <v>16.01</v>
      </c>
      <c r="K30" s="151" t="n">
        <v>139.17</v>
      </c>
      <c r="L30" s="147" t="inlineStr">
        <is>
          <t>已完成</t>
        </is>
      </c>
    </row>
    <row r="31" ht="15" customHeight="1" s="96">
      <c r="A31" s="150" t="inlineStr">
        <is>
          <t>2025-04-26</t>
        </is>
      </c>
      <c r="B31" s="150" t="inlineStr">
        <is>
          <t>DD20250426005</t>
        </is>
      </c>
      <c r="C31" s="149" t="inlineStr">
        <is>
          <t>宏盛五金</t>
        </is>
      </c>
      <c r="D31" s="149" t="inlineStr">
        <is>
          <t>铜件氧化</t>
        </is>
      </c>
      <c r="E31" s="149" t="inlineStr">
        <is>
          <t>按件</t>
        </is>
      </c>
      <c r="F31" s="149" t="n">
        <v>570</v>
      </c>
      <c r="G31" s="149" t="inlineStr">
        <is>
          <t>件</t>
        </is>
      </c>
      <c r="H31" s="152" t="n">
        <v>1.59</v>
      </c>
      <c r="I31" s="152" t="n">
        <v>904.14</v>
      </c>
      <c r="J31" s="152" t="n">
        <v>117.54</v>
      </c>
      <c r="K31" s="152" t="n">
        <v>1021.68</v>
      </c>
      <c r="L31" s="149" t="inlineStr">
        <is>
          <t>已完成</t>
        </is>
      </c>
    </row>
    <row r="32" ht="15" customHeight="1" s="96">
      <c r="A32" s="148" t="inlineStr">
        <is>
          <t>2025-04-13</t>
        </is>
      </c>
      <c r="B32" s="148" t="inlineStr">
        <is>
          <t>DD20250413006</t>
        </is>
      </c>
      <c r="C32" s="147" t="inlineStr">
        <is>
          <t>永达五金厂</t>
        </is>
      </c>
      <c r="D32" s="147" t="inlineStr">
        <is>
          <t>铝件抛光(委外)</t>
        </is>
      </c>
      <c r="E32" s="147" t="inlineStr">
        <is>
          <t>按件</t>
        </is>
      </c>
      <c r="F32" s="147" t="n">
        <v>484</v>
      </c>
      <c r="G32" s="147" t="inlineStr">
        <is>
          <t>件</t>
        </is>
      </c>
      <c r="H32" s="151" t="n">
        <v>2.13</v>
      </c>
      <c r="I32" s="151" t="n">
        <v>1029.29</v>
      </c>
      <c r="J32" s="151" t="n">
        <v>133.81</v>
      </c>
      <c r="K32" s="151" t="n">
        <v>1163.1</v>
      </c>
      <c r="L32" s="147" t="inlineStr">
        <is>
          <t>进行中</t>
        </is>
      </c>
    </row>
    <row r="33" ht="15" customHeight="1" s="96">
      <c r="A33" s="150" t="inlineStr">
        <is>
          <t>2025-04-12</t>
        </is>
      </c>
      <c r="B33" s="150" t="inlineStr">
        <is>
          <t>DD20250412007</t>
        </is>
      </c>
      <c r="C33" s="149" t="inlineStr">
        <is>
          <t>博远五金</t>
        </is>
      </c>
      <c r="D33" s="149" t="inlineStr">
        <is>
          <t>铜件氧化</t>
        </is>
      </c>
      <c r="E33" s="149" t="inlineStr">
        <is>
          <t>按件</t>
        </is>
      </c>
      <c r="F33" s="149" t="n">
        <v>485</v>
      </c>
      <c r="G33" s="149" t="inlineStr">
        <is>
          <t>件</t>
        </is>
      </c>
      <c r="H33" s="152" t="n">
        <v>1.55</v>
      </c>
      <c r="I33" s="152" t="n">
        <v>750.78</v>
      </c>
      <c r="J33" s="152" t="n">
        <v>97.59999999999999</v>
      </c>
      <c r="K33" s="152" t="n">
        <v>848.38</v>
      </c>
      <c r="L33" s="149" t="inlineStr">
        <is>
          <t>进行中</t>
        </is>
      </c>
    </row>
    <row r="34" ht="15" customHeight="1" s="96">
      <c r="A34" s="148" t="inlineStr">
        <is>
          <t>2025-04-11</t>
        </is>
      </c>
      <c r="B34" s="148" t="inlineStr">
        <is>
          <t>DD20250411008</t>
        </is>
      </c>
      <c r="C34" s="147" t="inlineStr">
        <is>
          <t>博远五金</t>
        </is>
      </c>
      <c r="D34" s="147" t="inlineStr">
        <is>
          <t>铝件氧化-香槟</t>
        </is>
      </c>
      <c r="E34" s="147" t="inlineStr">
        <is>
          <t>按米重</t>
        </is>
      </c>
      <c r="F34" s="147" t="n">
        <v>1935</v>
      </c>
      <c r="G34" s="148" t="inlineStr">
        <is>
          <t>kg</t>
        </is>
      </c>
      <c r="H34" s="151" t="n">
        <v>4.3</v>
      </c>
      <c r="I34" s="151" t="n">
        <v>8322.85</v>
      </c>
      <c r="J34" s="151" t="n">
        <v>1081.97</v>
      </c>
      <c r="K34" s="151" t="n">
        <v>9404.82</v>
      </c>
      <c r="L34" s="147" t="inlineStr">
        <is>
          <t>待加工</t>
        </is>
      </c>
    </row>
    <row r="35" ht="15" customHeight="1" s="96">
      <c r="A35" s="150" t="inlineStr">
        <is>
          <t>2025-04-13</t>
        </is>
      </c>
      <c r="B35" s="150" t="inlineStr">
        <is>
          <t>DD20250413009</t>
        </is>
      </c>
      <c r="C35" s="149" t="inlineStr">
        <is>
          <t>天成铝材</t>
        </is>
      </c>
      <c r="D35" s="149" t="inlineStr">
        <is>
          <t>铝件氧化-银白</t>
        </is>
      </c>
      <c r="E35" s="149" t="inlineStr">
        <is>
          <t>按米重</t>
        </is>
      </c>
      <c r="F35" s="149" t="n">
        <v>275</v>
      </c>
      <c r="G35" s="150" t="inlineStr">
        <is>
          <t>kg</t>
        </is>
      </c>
      <c r="H35" s="152" t="n">
        <v>3.83</v>
      </c>
      <c r="I35" s="152" t="n">
        <v>1053.05</v>
      </c>
      <c r="J35" s="152" t="n">
        <v>136.9</v>
      </c>
      <c r="K35" s="152" t="n">
        <v>1189.95</v>
      </c>
      <c r="L35" s="149" t="inlineStr">
        <is>
          <t>已完成</t>
        </is>
      </c>
    </row>
    <row r="36" ht="15" customHeight="1" s="96">
      <c r="A36" s="148" t="inlineStr">
        <is>
          <t>2025-04-19</t>
        </is>
      </c>
      <c r="B36" s="148" t="inlineStr">
        <is>
          <t>DD20250419010</t>
        </is>
      </c>
      <c r="C36" s="147" t="inlineStr">
        <is>
          <t>博远五金</t>
        </is>
      </c>
      <c r="D36" s="147" t="inlineStr">
        <is>
          <t>铝件氧化-黑色</t>
        </is>
      </c>
      <c r="E36" s="147" t="inlineStr">
        <is>
          <t>按米重</t>
        </is>
      </c>
      <c r="F36" s="147" t="n">
        <v>261</v>
      </c>
      <c r="G36" s="148" t="inlineStr">
        <is>
          <t>kg</t>
        </is>
      </c>
      <c r="H36" s="151" t="n">
        <v>3.95</v>
      </c>
      <c r="I36" s="151" t="n">
        <v>1030.34</v>
      </c>
      <c r="J36" s="151" t="n">
        <v>133.94</v>
      </c>
      <c r="K36" s="151" t="n">
        <v>1164.28</v>
      </c>
      <c r="L36" s="147" t="inlineStr">
        <is>
          <t>已完成</t>
        </is>
      </c>
    </row>
    <row r="37" ht="15" customHeight="1" s="96">
      <c r="A37" s="150" t="inlineStr">
        <is>
          <t>2025-04-14</t>
        </is>
      </c>
      <c r="B37" s="150" t="inlineStr">
        <is>
          <t>DD20250414011</t>
        </is>
      </c>
      <c r="C37" s="149" t="inlineStr">
        <is>
          <t>恒丰铝业</t>
        </is>
      </c>
      <c r="D37" s="149" t="inlineStr">
        <is>
          <t>铝散热器氧化</t>
        </is>
      </c>
      <c r="E37" s="149" t="inlineStr">
        <is>
          <t>按只</t>
        </is>
      </c>
      <c r="F37" s="149" t="n">
        <v>1804</v>
      </c>
      <c r="G37" s="149" t="inlineStr">
        <is>
          <t>只</t>
        </is>
      </c>
      <c r="H37" s="152" t="n">
        <v>0.75</v>
      </c>
      <c r="I37" s="152" t="n">
        <v>1353.74</v>
      </c>
      <c r="J37" s="152" t="n">
        <v>175.99</v>
      </c>
      <c r="K37" s="152" t="n">
        <v>1529.73</v>
      </c>
      <c r="L37" s="149" t="inlineStr">
        <is>
          <t>已完成</t>
        </is>
      </c>
    </row>
    <row r="38" ht="15" customHeight="1" s="96">
      <c r="A38" s="148" t="inlineStr">
        <is>
          <t>2025-04-23</t>
        </is>
      </c>
      <c r="B38" s="148" t="inlineStr">
        <is>
          <t>DD20250423012</t>
        </is>
      </c>
      <c r="C38" s="147" t="inlineStr">
        <is>
          <t>宏盛五金</t>
        </is>
      </c>
      <c r="D38" s="147" t="inlineStr">
        <is>
          <t>铝件氧化-银白</t>
        </is>
      </c>
      <c r="E38" s="147" t="inlineStr">
        <is>
          <t>按米重</t>
        </is>
      </c>
      <c r="F38" s="147" t="n">
        <v>1064</v>
      </c>
      <c r="G38" s="148" t="inlineStr">
        <is>
          <t>kg</t>
        </is>
      </c>
      <c r="H38" s="151" t="n">
        <v>3.71</v>
      </c>
      <c r="I38" s="151" t="n">
        <v>3952.29</v>
      </c>
      <c r="J38" s="151" t="n">
        <v>513.8</v>
      </c>
      <c r="K38" s="151" t="n">
        <v>4466.09</v>
      </c>
      <c r="L38" s="147" t="inlineStr">
        <is>
          <t>已完成</t>
        </is>
      </c>
    </row>
    <row r="39" ht="15" customHeight="1" s="96">
      <c r="A39" s="150" t="inlineStr">
        <is>
          <t>2025-04-12</t>
        </is>
      </c>
      <c r="B39" s="150" t="inlineStr">
        <is>
          <t>DD20250412013</t>
        </is>
      </c>
      <c r="C39" s="149" t="inlineStr">
        <is>
          <t>宏盛五金</t>
        </is>
      </c>
      <c r="D39" s="149" t="inlineStr">
        <is>
          <t>铝件氧化-香槟</t>
        </is>
      </c>
      <c r="E39" s="149" t="inlineStr">
        <is>
          <t>按米重</t>
        </is>
      </c>
      <c r="F39" s="149" t="n">
        <v>1900</v>
      </c>
      <c r="G39" s="150" t="inlineStr">
        <is>
          <t>kg</t>
        </is>
      </c>
      <c r="H39" s="152" t="n">
        <v>4.88</v>
      </c>
      <c r="I39" s="152" t="n">
        <v>9269.52</v>
      </c>
      <c r="J39" s="152" t="n">
        <v>1205.04</v>
      </c>
      <c r="K39" s="152" t="n">
        <v>10474.56</v>
      </c>
      <c r="L39" s="149" t="inlineStr">
        <is>
          <t>待加工</t>
        </is>
      </c>
    </row>
    <row r="40" ht="15" customHeight="1" s="96">
      <c r="A40" s="148" t="inlineStr">
        <is>
          <t>2025-04-11</t>
        </is>
      </c>
      <c r="B40" s="148" t="inlineStr">
        <is>
          <t>DD20250411014</t>
        </is>
      </c>
      <c r="C40" s="147" t="inlineStr">
        <is>
          <t>恒丰铝业</t>
        </is>
      </c>
      <c r="D40" s="147" t="inlineStr">
        <is>
          <t>铝管氧化</t>
        </is>
      </c>
      <c r="E40" s="147" t="inlineStr">
        <is>
          <t>按米长</t>
        </is>
      </c>
      <c r="F40" s="147" t="n">
        <v>1039</v>
      </c>
      <c r="G40" s="148" t="inlineStr">
        <is>
          <t>m</t>
        </is>
      </c>
      <c r="H40" s="151" t="n">
        <v>1.86</v>
      </c>
      <c r="I40" s="151" t="n">
        <v>1932.62</v>
      </c>
      <c r="J40" s="151" t="n">
        <v>251.24</v>
      </c>
      <c r="K40" s="151" t="n">
        <v>2183.86</v>
      </c>
      <c r="L40" s="147" t="inlineStr">
        <is>
          <t>已完成</t>
        </is>
      </c>
    </row>
    <row r="41" ht="15" customHeight="1" s="96">
      <c r="A41" s="150" t="inlineStr">
        <is>
          <t>2025-04-13</t>
        </is>
      </c>
      <c r="B41" s="150" t="inlineStr">
        <is>
          <t>DD20250413015</t>
        </is>
      </c>
      <c r="C41" s="149" t="inlineStr">
        <is>
          <t>博远五金</t>
        </is>
      </c>
      <c r="D41" s="149" t="inlineStr">
        <is>
          <t>铝件喷砂+氧化</t>
        </is>
      </c>
      <c r="E41" s="149" t="inlineStr">
        <is>
          <t>按件</t>
        </is>
      </c>
      <c r="F41" s="149" t="n">
        <v>424</v>
      </c>
      <c r="G41" s="149" t="inlineStr">
        <is>
          <t>件</t>
        </is>
      </c>
      <c r="H41" s="152" t="n">
        <v>2.07</v>
      </c>
      <c r="I41" s="152" t="n">
        <v>875.97</v>
      </c>
      <c r="J41" s="152" t="n">
        <v>113.88</v>
      </c>
      <c r="K41" s="152" t="n">
        <v>989.85</v>
      </c>
      <c r="L41" s="149" t="inlineStr">
        <is>
          <t>进行中</t>
        </is>
      </c>
    </row>
    <row r="42" ht="15" customHeight="1" s="96">
      <c r="A42" s="148" t="inlineStr">
        <is>
          <t>2025-04-22</t>
        </is>
      </c>
      <c r="B42" s="148" t="inlineStr">
        <is>
          <t>DD20250422016</t>
        </is>
      </c>
      <c r="C42" s="147" t="inlineStr">
        <is>
          <t>鑫达精密</t>
        </is>
      </c>
      <c r="D42" s="147" t="inlineStr">
        <is>
          <t>铝管氧化</t>
        </is>
      </c>
      <c r="E42" s="147" t="inlineStr">
        <is>
          <t>按米长</t>
        </is>
      </c>
      <c r="F42" s="147" t="n">
        <v>842</v>
      </c>
      <c r="G42" s="148" t="inlineStr">
        <is>
          <t>m</t>
        </is>
      </c>
      <c r="H42" s="151" t="n">
        <v>1.92</v>
      </c>
      <c r="I42" s="151" t="n">
        <v>1616.76</v>
      </c>
      <c r="J42" s="151" t="n">
        <v>210.18</v>
      </c>
      <c r="K42" s="151" t="n">
        <v>1826.94</v>
      </c>
      <c r="L42" s="147" t="inlineStr">
        <is>
          <t>已完成</t>
        </is>
      </c>
    </row>
    <row r="43" ht="15" customHeight="1" s="96">
      <c r="A43" s="150" t="inlineStr">
        <is>
          <t>2025-04-10</t>
        </is>
      </c>
      <c r="B43" s="150" t="inlineStr">
        <is>
          <t>DD20250410017</t>
        </is>
      </c>
      <c r="C43" s="149" t="inlineStr">
        <is>
          <t>华泰金属</t>
        </is>
      </c>
      <c r="D43" s="149" t="inlineStr">
        <is>
          <t>铝外壳氧化</t>
        </is>
      </c>
      <c r="E43" s="149" t="inlineStr">
        <is>
          <t>按个</t>
        </is>
      </c>
      <c r="F43" s="149" t="n">
        <v>1582</v>
      </c>
      <c r="G43" s="149" t="inlineStr">
        <is>
          <t>个</t>
        </is>
      </c>
      <c r="H43" s="152" t="n">
        <v>1.23</v>
      </c>
      <c r="I43" s="152" t="n">
        <v>1938.9</v>
      </c>
      <c r="J43" s="152" t="n">
        <v>252.06</v>
      </c>
      <c r="K43" s="152" t="n">
        <v>2190.96</v>
      </c>
      <c r="L43" s="149" t="inlineStr">
        <is>
          <t>已完成</t>
        </is>
      </c>
    </row>
    <row r="44" ht="15" customHeight="1" s="96">
      <c r="A44" s="148" t="inlineStr">
        <is>
          <t>2025-04-15</t>
        </is>
      </c>
      <c r="B44" s="148" t="inlineStr">
        <is>
          <t>DD20250415018</t>
        </is>
      </c>
      <c r="C44" s="147" t="inlineStr">
        <is>
          <t>瑞丰金属</t>
        </is>
      </c>
      <c r="D44" s="147" t="inlineStr">
        <is>
          <t>铝件喷砂(委外)</t>
        </is>
      </c>
      <c r="E44" s="147" t="inlineStr">
        <is>
          <t>按件</t>
        </is>
      </c>
      <c r="F44" s="147" t="n">
        <v>1367</v>
      </c>
      <c r="G44" s="147" t="inlineStr">
        <is>
          <t>件</t>
        </is>
      </c>
      <c r="H44" s="151" t="n">
        <v>1.5</v>
      </c>
      <c r="I44" s="151" t="n">
        <v>2055.08</v>
      </c>
      <c r="J44" s="151" t="n">
        <v>267.16</v>
      </c>
      <c r="K44" s="151" t="n">
        <v>2322.24</v>
      </c>
      <c r="L44" s="147" t="inlineStr">
        <is>
          <t>已完成</t>
        </is>
      </c>
    </row>
    <row r="45" ht="15" customHeight="1" s="96">
      <c r="A45" s="150" t="inlineStr">
        <is>
          <t>2025-04-22</t>
        </is>
      </c>
      <c r="B45" s="150" t="inlineStr">
        <is>
          <t>DD20250422019</t>
        </is>
      </c>
      <c r="C45" s="149" t="inlineStr">
        <is>
          <t>恒丰铝业</t>
        </is>
      </c>
      <c r="D45" s="149" t="inlineStr">
        <is>
          <t>铝管氧化</t>
        </is>
      </c>
      <c r="E45" s="149" t="inlineStr">
        <is>
          <t>按米长</t>
        </is>
      </c>
      <c r="F45" s="149" t="n">
        <v>1055</v>
      </c>
      <c r="G45" s="150" t="inlineStr">
        <is>
          <t>m</t>
        </is>
      </c>
      <c r="H45" s="152" t="n">
        <v>1.85</v>
      </c>
      <c r="I45" s="152" t="n">
        <v>1949.49</v>
      </c>
      <c r="J45" s="152" t="n">
        <v>253.43</v>
      </c>
      <c r="K45" s="152" t="n">
        <v>2202.92</v>
      </c>
      <c r="L45" s="149" t="inlineStr">
        <is>
          <t>已完成</t>
        </is>
      </c>
    </row>
    <row r="46" ht="15" customHeight="1" s="96">
      <c r="A46" s="148" t="inlineStr">
        <is>
          <t>2025-04-03</t>
        </is>
      </c>
      <c r="B46" s="148" t="inlineStr">
        <is>
          <t>DD20250403020</t>
        </is>
      </c>
      <c r="C46" s="147" t="inlineStr">
        <is>
          <t>华泰金属</t>
        </is>
      </c>
      <c r="D46" s="147" t="inlineStr">
        <is>
          <t>铝管氧化</t>
        </is>
      </c>
      <c r="E46" s="147" t="inlineStr">
        <is>
          <t>按米长</t>
        </is>
      </c>
      <c r="F46" s="147" t="n">
        <v>488</v>
      </c>
      <c r="G46" s="148" t="inlineStr">
        <is>
          <t>m</t>
        </is>
      </c>
      <c r="H46" s="151" t="n">
        <v>1.69</v>
      </c>
      <c r="I46" s="151" t="n">
        <v>825.54</v>
      </c>
      <c r="J46" s="151" t="n">
        <v>107.32</v>
      </c>
      <c r="K46" s="151" t="n">
        <v>932.86</v>
      </c>
      <c r="L46" s="147" t="inlineStr">
        <is>
          <t>已完成</t>
        </is>
      </c>
    </row>
    <row r="47" ht="15" customHeight="1" s="96">
      <c r="A47" s="150" t="inlineStr">
        <is>
          <t>2025-04-02</t>
        </is>
      </c>
      <c r="B47" s="150" t="inlineStr">
        <is>
          <t>DD20250402021</t>
        </is>
      </c>
      <c r="C47" s="149" t="inlineStr">
        <is>
          <t>华泰金属</t>
        </is>
      </c>
      <c r="D47" s="149" t="inlineStr">
        <is>
          <t>铝件抛光(委外)</t>
        </is>
      </c>
      <c r="E47" s="149" t="inlineStr">
        <is>
          <t>按件</t>
        </is>
      </c>
      <c r="F47" s="149" t="n">
        <v>1242</v>
      </c>
      <c r="G47" s="149" t="inlineStr">
        <is>
          <t>件</t>
        </is>
      </c>
      <c r="H47" s="152" t="n">
        <v>2.11</v>
      </c>
      <c r="I47" s="152" t="n">
        <v>2617.39</v>
      </c>
      <c r="J47" s="152" t="n">
        <v>340.26</v>
      </c>
      <c r="K47" s="152" t="n">
        <v>2957.65</v>
      </c>
      <c r="L47" s="149" t="inlineStr">
        <is>
          <t>进行中</t>
        </is>
      </c>
    </row>
    <row r="48" ht="15" customHeight="1" s="96">
      <c r="A48" s="148" t="inlineStr">
        <is>
          <t>2025-04-14</t>
        </is>
      </c>
      <c r="B48" s="148" t="inlineStr">
        <is>
          <t>DD20250414022</t>
        </is>
      </c>
      <c r="C48" s="147" t="inlineStr">
        <is>
          <t>华泰金属</t>
        </is>
      </c>
      <c r="D48" s="147" t="inlineStr">
        <is>
          <t>铝散热器氧化</t>
        </is>
      </c>
      <c r="E48" s="147" t="inlineStr">
        <is>
          <t>按只</t>
        </is>
      </c>
      <c r="F48" s="147" t="n">
        <v>1014</v>
      </c>
      <c r="G48" s="147" t="inlineStr">
        <is>
          <t>只</t>
        </is>
      </c>
      <c r="H48" s="151" t="n">
        <v>0.76</v>
      </c>
      <c r="I48" s="151" t="n">
        <v>769.66</v>
      </c>
      <c r="J48" s="151" t="n">
        <v>100.06</v>
      </c>
      <c r="K48" s="151" t="n">
        <v>869.72</v>
      </c>
      <c r="L48" s="147" t="inlineStr">
        <is>
          <t>已完成</t>
        </is>
      </c>
    </row>
    <row r="49" ht="15" customHeight="1" s="96">
      <c r="A49" s="150" t="inlineStr">
        <is>
          <t>2025-04-25</t>
        </is>
      </c>
      <c r="B49" s="150" t="inlineStr">
        <is>
          <t>DD20250425023</t>
        </is>
      </c>
      <c r="C49" s="149" t="inlineStr">
        <is>
          <t>恒丰铝业</t>
        </is>
      </c>
      <c r="D49" s="149" t="inlineStr">
        <is>
          <t>铝外壳氧化</t>
        </is>
      </c>
      <c r="E49" s="149" t="inlineStr">
        <is>
          <t>按个</t>
        </is>
      </c>
      <c r="F49" s="149" t="n">
        <v>477</v>
      </c>
      <c r="G49" s="149" t="inlineStr">
        <is>
          <t>个</t>
        </is>
      </c>
      <c r="H49" s="152" t="n">
        <v>1.27</v>
      </c>
      <c r="I49" s="152" t="n">
        <v>607.21</v>
      </c>
      <c r="J49" s="152" t="n">
        <v>78.94</v>
      </c>
      <c r="K49" s="152" t="n">
        <v>686.15</v>
      </c>
      <c r="L49" s="149" t="inlineStr">
        <is>
          <t>待加工</t>
        </is>
      </c>
    </row>
    <row r="50" ht="15" customHeight="1" s="96">
      <c r="A50" s="148" t="inlineStr">
        <is>
          <t>2025-04-15</t>
        </is>
      </c>
      <c r="B50" s="148" t="inlineStr">
        <is>
          <t>DD20250415024</t>
        </is>
      </c>
      <c r="C50" s="147" t="inlineStr">
        <is>
          <t>永达五金厂</t>
        </is>
      </c>
      <c r="D50" s="147" t="inlineStr">
        <is>
          <t>铜件氧化</t>
        </is>
      </c>
      <c r="E50" s="147" t="inlineStr">
        <is>
          <t>按件</t>
        </is>
      </c>
      <c r="F50" s="147" t="n">
        <v>1839</v>
      </c>
      <c r="G50" s="147" t="inlineStr">
        <is>
          <t>件</t>
        </is>
      </c>
      <c r="H50" s="151" t="n">
        <v>1.39</v>
      </c>
      <c r="I50" s="151" t="n">
        <v>2549.6</v>
      </c>
      <c r="J50" s="151" t="n">
        <v>331.45</v>
      </c>
      <c r="K50" s="151" t="n">
        <v>2881.05</v>
      </c>
      <c r="L50" s="147" t="inlineStr">
        <is>
          <t>已完成</t>
        </is>
      </c>
    </row>
    <row r="51" ht="15" customHeight="1" s="96">
      <c r="A51" s="150" t="inlineStr">
        <is>
          <t>2025-05-09</t>
        </is>
      </c>
      <c r="B51" s="150" t="inlineStr">
        <is>
          <t>DD20250509001</t>
        </is>
      </c>
      <c r="C51" s="149" t="inlineStr">
        <is>
          <t>天成铝材</t>
        </is>
      </c>
      <c r="D51" s="149" t="inlineStr">
        <is>
          <t>铜件氧化</t>
        </is>
      </c>
      <c r="E51" s="149" t="inlineStr">
        <is>
          <t>按件</t>
        </is>
      </c>
      <c r="F51" s="149" t="n">
        <v>1670</v>
      </c>
      <c r="G51" s="149" t="inlineStr">
        <is>
          <t>件</t>
        </is>
      </c>
      <c r="H51" s="152" t="n">
        <v>1.38</v>
      </c>
      <c r="I51" s="152" t="n">
        <v>2297.92</v>
      </c>
      <c r="J51" s="152" t="n">
        <v>298.73</v>
      </c>
      <c r="K51" s="152" t="n">
        <v>2596.65</v>
      </c>
      <c r="L51" s="149" t="inlineStr">
        <is>
          <t>进行中</t>
        </is>
      </c>
    </row>
    <row r="52" ht="15" customHeight="1" s="96">
      <c r="A52" s="148" t="inlineStr">
        <is>
          <t>2025-05-08</t>
        </is>
      </c>
      <c r="B52" s="148" t="inlineStr">
        <is>
          <t>DD20250508002</t>
        </is>
      </c>
      <c r="C52" s="147" t="inlineStr">
        <is>
          <t>瑞丰金属</t>
        </is>
      </c>
      <c r="D52" s="147" t="inlineStr">
        <is>
          <t>铝散热器氧化</t>
        </is>
      </c>
      <c r="E52" s="147" t="inlineStr">
        <is>
          <t>按只</t>
        </is>
      </c>
      <c r="F52" s="147" t="n">
        <v>706</v>
      </c>
      <c r="G52" s="147" t="inlineStr">
        <is>
          <t>只</t>
        </is>
      </c>
      <c r="H52" s="151" t="n">
        <v>0.8</v>
      </c>
      <c r="I52" s="151" t="n">
        <v>564.16</v>
      </c>
      <c r="J52" s="151" t="n">
        <v>73.34</v>
      </c>
      <c r="K52" s="151" t="n">
        <v>637.5</v>
      </c>
      <c r="L52" s="147" t="inlineStr">
        <is>
          <t>已完成</t>
        </is>
      </c>
    </row>
    <row r="53" ht="15" customHeight="1" s="96">
      <c r="A53" s="150" t="inlineStr">
        <is>
          <t>2025-05-06</t>
        </is>
      </c>
      <c r="B53" s="150" t="inlineStr">
        <is>
          <t>DD20250506003</t>
        </is>
      </c>
      <c r="C53" s="149" t="inlineStr">
        <is>
          <t>瑞丰金属</t>
        </is>
      </c>
      <c r="D53" s="149" t="inlineStr">
        <is>
          <t>铝件抛光+氧化</t>
        </is>
      </c>
      <c r="E53" s="149" t="inlineStr">
        <is>
          <t>按件</t>
        </is>
      </c>
      <c r="F53" s="149" t="n">
        <v>742</v>
      </c>
      <c r="G53" s="149" t="inlineStr">
        <is>
          <t>件</t>
        </is>
      </c>
      <c r="H53" s="152" t="n">
        <v>2.86</v>
      </c>
      <c r="I53" s="152" t="n">
        <v>2118.42</v>
      </c>
      <c r="J53" s="152" t="n">
        <v>275.39</v>
      </c>
      <c r="K53" s="152" t="n">
        <v>2393.81</v>
      </c>
      <c r="L53" s="149" t="inlineStr">
        <is>
          <t>已完成</t>
        </is>
      </c>
    </row>
    <row r="54" ht="15" customHeight="1" s="96">
      <c r="A54" s="148" t="inlineStr">
        <is>
          <t>2025-05-20</t>
        </is>
      </c>
      <c r="B54" s="148" t="inlineStr">
        <is>
          <t>DD20250520004</t>
        </is>
      </c>
      <c r="C54" s="147" t="inlineStr">
        <is>
          <t>博远五金</t>
        </is>
      </c>
      <c r="D54" s="147" t="inlineStr">
        <is>
          <t>铝件氧化-银白</t>
        </is>
      </c>
      <c r="E54" s="147" t="inlineStr">
        <is>
          <t>按米重</t>
        </is>
      </c>
      <c r="F54" s="147" t="n">
        <v>1057</v>
      </c>
      <c r="G54" s="148" t="inlineStr">
        <is>
          <t>kg</t>
        </is>
      </c>
      <c r="H54" s="151" t="n">
        <v>3.28</v>
      </c>
      <c r="I54" s="151" t="n">
        <v>3470.91</v>
      </c>
      <c r="J54" s="151" t="n">
        <v>451.22</v>
      </c>
      <c r="K54" s="151" t="n">
        <v>3922.13</v>
      </c>
      <c r="L54" s="147" t="inlineStr">
        <is>
          <t>已完成</t>
        </is>
      </c>
    </row>
    <row r="55" ht="15" customHeight="1" s="96">
      <c r="A55" s="150" t="inlineStr">
        <is>
          <t>2025-05-24</t>
        </is>
      </c>
      <c r="B55" s="150" t="inlineStr">
        <is>
          <t>DD20250524005</t>
        </is>
      </c>
      <c r="C55" s="149" t="inlineStr">
        <is>
          <t>宏盛五金</t>
        </is>
      </c>
      <c r="D55" s="149" t="inlineStr">
        <is>
          <t>铝件抛光(委外)</t>
        </is>
      </c>
      <c r="E55" s="149" t="inlineStr">
        <is>
          <t>按件</t>
        </is>
      </c>
      <c r="F55" s="149" t="n">
        <v>1133</v>
      </c>
      <c r="G55" s="149" t="inlineStr">
        <is>
          <t>件</t>
        </is>
      </c>
      <c r="H55" s="152" t="n">
        <v>1.9</v>
      </c>
      <c r="I55" s="152" t="n">
        <v>2148.31</v>
      </c>
      <c r="J55" s="152" t="n">
        <v>279.28</v>
      </c>
      <c r="K55" s="152" t="n">
        <v>2427.59</v>
      </c>
      <c r="L55" s="149" t="inlineStr">
        <is>
          <t>进行中</t>
        </is>
      </c>
    </row>
    <row r="56" ht="15" customHeight="1" s="96">
      <c r="A56" s="148" t="inlineStr">
        <is>
          <t>2025-05-21</t>
        </is>
      </c>
      <c r="B56" s="148" t="inlineStr">
        <is>
          <t>DD20250521006</t>
        </is>
      </c>
      <c r="C56" s="147" t="inlineStr">
        <is>
          <t>瑞丰金属</t>
        </is>
      </c>
      <c r="D56" s="147" t="inlineStr">
        <is>
          <t>铝件喷砂(委外)</t>
        </is>
      </c>
      <c r="E56" s="147" t="inlineStr">
        <is>
          <t>按件</t>
        </is>
      </c>
      <c r="F56" s="147" t="n">
        <v>1596</v>
      </c>
      <c r="G56" s="147" t="inlineStr">
        <is>
          <t>件</t>
        </is>
      </c>
      <c r="H56" s="151" t="n">
        <v>1.38</v>
      </c>
      <c r="I56" s="151" t="n">
        <v>2199.15</v>
      </c>
      <c r="J56" s="151" t="n">
        <v>285.89</v>
      </c>
      <c r="K56" s="151" t="n">
        <v>2485.04</v>
      </c>
      <c r="L56" s="147" t="inlineStr">
        <is>
          <t>已完成</t>
        </is>
      </c>
    </row>
    <row r="57" ht="15" customHeight="1" s="96">
      <c r="A57" s="150" t="inlineStr">
        <is>
          <t>2025-05-13</t>
        </is>
      </c>
      <c r="B57" s="150" t="inlineStr">
        <is>
          <t>DD20250513007</t>
        </is>
      </c>
      <c r="C57" s="149" t="inlineStr">
        <is>
          <t>华泰金属</t>
        </is>
      </c>
      <c r="D57" s="149" t="inlineStr">
        <is>
          <t>铝管氧化</t>
        </is>
      </c>
      <c r="E57" s="149" t="inlineStr">
        <is>
          <t>按米长</t>
        </is>
      </c>
      <c r="F57" s="149" t="n">
        <v>1345</v>
      </c>
      <c r="G57" s="150" t="inlineStr">
        <is>
          <t>m</t>
        </is>
      </c>
      <c r="H57" s="152" t="n">
        <v>1.75</v>
      </c>
      <c r="I57" s="152" t="n">
        <v>2357.58</v>
      </c>
      <c r="J57" s="152" t="n">
        <v>306.49</v>
      </c>
      <c r="K57" s="152" t="n">
        <v>2664.07</v>
      </c>
      <c r="L57" s="149" t="inlineStr">
        <is>
          <t>待加工</t>
        </is>
      </c>
    </row>
    <row r="58" ht="15" customHeight="1" s="96">
      <c r="A58" s="148" t="inlineStr">
        <is>
          <t>2025-05-17</t>
        </is>
      </c>
      <c r="B58" s="148" t="inlineStr">
        <is>
          <t>DD20250517008</t>
        </is>
      </c>
      <c r="C58" s="147" t="inlineStr">
        <is>
          <t>天成铝材</t>
        </is>
      </c>
      <c r="D58" s="147" t="inlineStr">
        <is>
          <t>铝外壳氧化</t>
        </is>
      </c>
      <c r="E58" s="147" t="inlineStr">
        <is>
          <t>按个</t>
        </is>
      </c>
      <c r="F58" s="147" t="n">
        <v>1993</v>
      </c>
      <c r="G58" s="147" t="inlineStr">
        <is>
          <t>个</t>
        </is>
      </c>
      <c r="H58" s="151" t="n">
        <v>1.21</v>
      </c>
      <c r="I58" s="151" t="n">
        <v>2415.7</v>
      </c>
      <c r="J58" s="151" t="n">
        <v>314.04</v>
      </c>
      <c r="K58" s="151" t="n">
        <v>2729.74</v>
      </c>
      <c r="L58" s="147" t="inlineStr">
        <is>
          <t>已完成</t>
        </is>
      </c>
    </row>
    <row r="59" ht="15" customHeight="1" s="96">
      <c r="A59" s="150" t="inlineStr">
        <is>
          <t>2025-05-23</t>
        </is>
      </c>
      <c r="B59" s="150" t="inlineStr">
        <is>
          <t>DD20250523009</t>
        </is>
      </c>
      <c r="C59" s="149" t="inlineStr">
        <is>
          <t>瑞丰金属</t>
        </is>
      </c>
      <c r="D59" s="149" t="inlineStr">
        <is>
          <t>铝板氧化</t>
        </is>
      </c>
      <c r="E59" s="149" t="inlineStr">
        <is>
          <t>按平方</t>
        </is>
      </c>
      <c r="F59" s="149" t="n">
        <v>648</v>
      </c>
      <c r="G59" s="149" t="inlineStr">
        <is>
          <t>㎡</t>
        </is>
      </c>
      <c r="H59" s="152" t="n">
        <v>23.65</v>
      </c>
      <c r="I59" s="152" t="n">
        <v>15326.94</v>
      </c>
      <c r="J59" s="152" t="n">
        <v>1992.5</v>
      </c>
      <c r="K59" s="152" t="n">
        <v>17319.44</v>
      </c>
      <c r="L59" s="149" t="inlineStr">
        <is>
          <t>已完成</t>
        </is>
      </c>
    </row>
    <row r="60" ht="15" customHeight="1" s="96">
      <c r="A60" s="148" t="inlineStr">
        <is>
          <t>2025-05-11</t>
        </is>
      </c>
      <c r="B60" s="148" t="inlineStr">
        <is>
          <t>DD20250511010</t>
        </is>
      </c>
      <c r="C60" s="147" t="inlineStr">
        <is>
          <t>恒丰铝业</t>
        </is>
      </c>
      <c r="D60" s="147" t="inlineStr">
        <is>
          <t>铝件拉丝+氧化</t>
        </is>
      </c>
      <c r="E60" s="147" t="inlineStr">
        <is>
          <t>按件</t>
        </is>
      </c>
      <c r="F60" s="147" t="n">
        <v>424</v>
      </c>
      <c r="G60" s="147" t="inlineStr">
        <is>
          <t>件</t>
        </is>
      </c>
      <c r="H60" s="151" t="n">
        <v>2.62</v>
      </c>
      <c r="I60" s="151" t="n">
        <v>1110.58</v>
      </c>
      <c r="J60" s="151" t="n">
        <v>144.38</v>
      </c>
      <c r="K60" s="151" t="n">
        <v>1254.96</v>
      </c>
      <c r="L60" s="147" t="inlineStr">
        <is>
          <t>已完成</t>
        </is>
      </c>
    </row>
    <row r="61" ht="15" customHeight="1" s="96">
      <c r="A61" s="150" t="inlineStr">
        <is>
          <t>2025-05-24</t>
        </is>
      </c>
      <c r="B61" s="150" t="inlineStr">
        <is>
          <t>DD20250524011</t>
        </is>
      </c>
      <c r="C61" s="149" t="inlineStr">
        <is>
          <t>博远五金</t>
        </is>
      </c>
      <c r="D61" s="149" t="inlineStr">
        <is>
          <t>铝件氧化-蓝色</t>
        </is>
      </c>
      <c r="E61" s="149" t="inlineStr">
        <is>
          <t>按米重</t>
        </is>
      </c>
      <c r="F61" s="149" t="n">
        <v>1674</v>
      </c>
      <c r="G61" s="150" t="inlineStr">
        <is>
          <t>kg</t>
        </is>
      </c>
      <c r="H61" s="152" t="n">
        <v>4.8</v>
      </c>
      <c r="I61" s="152" t="n">
        <v>8028.92</v>
      </c>
      <c r="J61" s="152" t="n">
        <v>1043.76</v>
      </c>
      <c r="K61" s="152" t="n">
        <v>9072.68</v>
      </c>
      <c r="L61" s="149" t="inlineStr">
        <is>
          <t>已完成</t>
        </is>
      </c>
    </row>
    <row r="62" ht="15" customHeight="1" s="96">
      <c r="A62" s="148" t="inlineStr">
        <is>
          <t>2025-05-06</t>
        </is>
      </c>
      <c r="B62" s="148" t="inlineStr">
        <is>
          <t>DD20250506012</t>
        </is>
      </c>
      <c r="C62" s="147" t="inlineStr">
        <is>
          <t>博远五金</t>
        </is>
      </c>
      <c r="D62" s="147" t="inlineStr">
        <is>
          <t>铝件氧化-银白</t>
        </is>
      </c>
      <c r="E62" s="147" t="inlineStr">
        <is>
          <t>按米重</t>
        </is>
      </c>
      <c r="F62" s="147" t="n">
        <v>1431</v>
      </c>
      <c r="G62" s="148" t="inlineStr">
        <is>
          <t>kg</t>
        </is>
      </c>
      <c r="H62" s="151" t="n">
        <v>3.24</v>
      </c>
      <c r="I62" s="151" t="n">
        <v>4634.45</v>
      </c>
      <c r="J62" s="151" t="n">
        <v>602.48</v>
      </c>
      <c r="K62" s="151" t="n">
        <v>5236.93</v>
      </c>
      <c r="L62" s="147" t="inlineStr">
        <is>
          <t>已完成</t>
        </is>
      </c>
    </row>
    <row r="63" ht="15" customHeight="1" s="96">
      <c r="A63" s="150" t="inlineStr">
        <is>
          <t>2025-05-02</t>
        </is>
      </c>
      <c r="B63" s="150" t="inlineStr">
        <is>
          <t>DD20250502013</t>
        </is>
      </c>
      <c r="C63" s="149" t="inlineStr">
        <is>
          <t>博远五金</t>
        </is>
      </c>
      <c r="D63" s="149" t="inlineStr">
        <is>
          <t>铝件喷砂+氧化</t>
        </is>
      </c>
      <c r="E63" s="149" t="inlineStr">
        <is>
          <t>按件</t>
        </is>
      </c>
      <c r="F63" s="149" t="n">
        <v>1294</v>
      </c>
      <c r="G63" s="149" t="inlineStr">
        <is>
          <t>件</t>
        </is>
      </c>
      <c r="H63" s="152" t="n">
        <v>2.1</v>
      </c>
      <c r="I63" s="152" t="n">
        <v>2718.85</v>
      </c>
      <c r="J63" s="152" t="n">
        <v>353.45</v>
      </c>
      <c r="K63" s="152" t="n">
        <v>3072.3</v>
      </c>
      <c r="L63" s="149" t="inlineStr">
        <is>
          <t>已完成</t>
        </is>
      </c>
    </row>
    <row r="64" ht="15" customHeight="1" s="96">
      <c r="A64" s="148" t="inlineStr">
        <is>
          <t>2025-05-28</t>
        </is>
      </c>
      <c r="B64" s="148" t="inlineStr">
        <is>
          <t>DD20250528014</t>
        </is>
      </c>
      <c r="C64" s="147" t="inlineStr">
        <is>
          <t>永达五金厂</t>
        </is>
      </c>
      <c r="D64" s="147" t="inlineStr">
        <is>
          <t>铝管氧化</t>
        </is>
      </c>
      <c r="E64" s="147" t="inlineStr">
        <is>
          <t>按米长</t>
        </is>
      </c>
      <c r="F64" s="147" t="n">
        <v>965</v>
      </c>
      <c r="G64" s="148" t="inlineStr">
        <is>
          <t>m</t>
        </is>
      </c>
      <c r="H64" s="151" t="n">
        <v>1.78</v>
      </c>
      <c r="I64" s="151" t="n">
        <v>1716.32</v>
      </c>
      <c r="J64" s="151" t="n">
        <v>223.12</v>
      </c>
      <c r="K64" s="151" t="n">
        <v>1939.44</v>
      </c>
      <c r="L64" s="147" t="inlineStr">
        <is>
          <t>进行中</t>
        </is>
      </c>
    </row>
    <row r="65" ht="15" customHeight="1" s="96">
      <c r="A65" s="150" t="inlineStr">
        <is>
          <t>2025-05-02</t>
        </is>
      </c>
      <c r="B65" s="150" t="inlineStr">
        <is>
          <t>DD20250502015</t>
        </is>
      </c>
      <c r="C65" s="149" t="inlineStr">
        <is>
          <t>博远五金</t>
        </is>
      </c>
      <c r="D65" s="149" t="inlineStr">
        <is>
          <t>铝件抛光(委外)</t>
        </is>
      </c>
      <c r="E65" s="149" t="inlineStr">
        <is>
          <t>按件</t>
        </is>
      </c>
      <c r="F65" s="149" t="n">
        <v>272</v>
      </c>
      <c r="G65" s="149" t="inlineStr">
        <is>
          <t>件</t>
        </is>
      </c>
      <c r="H65" s="152" t="n">
        <v>1.83</v>
      </c>
      <c r="I65" s="152" t="n">
        <v>496.71</v>
      </c>
      <c r="J65" s="152" t="n">
        <v>64.56999999999999</v>
      </c>
      <c r="K65" s="152" t="n">
        <v>561.28</v>
      </c>
      <c r="L65" s="149" t="inlineStr">
        <is>
          <t>进行中</t>
        </is>
      </c>
    </row>
    <row r="66" ht="15" customHeight="1" s="96">
      <c r="A66" s="148" t="inlineStr">
        <is>
          <t>2025-05-03</t>
        </is>
      </c>
      <c r="B66" s="148" t="inlineStr">
        <is>
          <t>DD20250503016</t>
        </is>
      </c>
      <c r="C66" s="147" t="inlineStr">
        <is>
          <t>永达五金厂</t>
        </is>
      </c>
      <c r="D66" s="147" t="inlineStr">
        <is>
          <t>铝件喷砂+氧化</t>
        </is>
      </c>
      <c r="E66" s="147" t="inlineStr">
        <is>
          <t>按件</t>
        </is>
      </c>
      <c r="F66" s="147" t="n">
        <v>341</v>
      </c>
      <c r="G66" s="147" t="inlineStr">
        <is>
          <t>件</t>
        </is>
      </c>
      <c r="H66" s="151" t="n">
        <v>2.03</v>
      </c>
      <c r="I66" s="151" t="n">
        <v>690.5700000000001</v>
      </c>
      <c r="J66" s="151" t="n">
        <v>89.77</v>
      </c>
      <c r="K66" s="151" t="n">
        <v>780.34</v>
      </c>
      <c r="L66" s="147" t="inlineStr">
        <is>
          <t>已完成</t>
        </is>
      </c>
    </row>
    <row r="67" ht="15" customHeight="1" s="96">
      <c r="A67" s="150" t="inlineStr">
        <is>
          <t>2025-05-03</t>
        </is>
      </c>
      <c r="B67" s="150" t="inlineStr">
        <is>
          <t>DD20250503017</t>
        </is>
      </c>
      <c r="C67" s="149" t="inlineStr">
        <is>
          <t>华泰金属</t>
        </is>
      </c>
      <c r="D67" s="149" t="inlineStr">
        <is>
          <t>铝件氧化-蓝色</t>
        </is>
      </c>
      <c r="E67" s="149" t="inlineStr">
        <is>
          <t>按米重</t>
        </is>
      </c>
      <c r="F67" s="149" t="n">
        <v>1138</v>
      </c>
      <c r="G67" s="150" t="inlineStr">
        <is>
          <t>kg</t>
        </is>
      </c>
      <c r="H67" s="152" t="n">
        <v>4.92</v>
      </c>
      <c r="I67" s="152" t="n">
        <v>5594.61</v>
      </c>
      <c r="J67" s="152" t="n">
        <v>727.3</v>
      </c>
      <c r="K67" s="152" t="n">
        <v>6321.91</v>
      </c>
      <c r="L67" s="149" t="inlineStr">
        <is>
          <t>待加工</t>
        </is>
      </c>
    </row>
    <row r="68" ht="15" customHeight="1" s="96">
      <c r="A68" s="148" t="inlineStr">
        <is>
          <t>2025-05-26</t>
        </is>
      </c>
      <c r="B68" s="148" t="inlineStr">
        <is>
          <t>DD20250526018</t>
        </is>
      </c>
      <c r="C68" s="147" t="inlineStr">
        <is>
          <t>华泰金属</t>
        </is>
      </c>
      <c r="D68" s="147" t="inlineStr">
        <is>
          <t>铝散热器氧化</t>
        </is>
      </c>
      <c r="E68" s="147" t="inlineStr">
        <is>
          <t>按只</t>
        </is>
      </c>
      <c r="F68" s="147" t="n">
        <v>929</v>
      </c>
      <c r="G68" s="147" t="inlineStr">
        <is>
          <t>只</t>
        </is>
      </c>
      <c r="H68" s="151" t="n">
        <v>0.79</v>
      </c>
      <c r="I68" s="151" t="n">
        <v>734.6900000000001</v>
      </c>
      <c r="J68" s="151" t="n">
        <v>95.51000000000001</v>
      </c>
      <c r="K68" s="151" t="n">
        <v>830.2</v>
      </c>
      <c r="L68" s="147" t="inlineStr">
        <is>
          <t>进行中</t>
        </is>
      </c>
    </row>
    <row r="69" ht="15" customHeight="1" s="96">
      <c r="A69" s="150" t="inlineStr">
        <is>
          <t>2025-05-14</t>
        </is>
      </c>
      <c r="B69" s="150" t="inlineStr">
        <is>
          <t>DD20250514019</t>
        </is>
      </c>
      <c r="C69" s="149" t="inlineStr">
        <is>
          <t>博远五金</t>
        </is>
      </c>
      <c r="D69" s="149" t="inlineStr">
        <is>
          <t>铝件氧化-黑色</t>
        </is>
      </c>
      <c r="E69" s="149" t="inlineStr">
        <is>
          <t>按米重</t>
        </is>
      </c>
      <c r="F69" s="149" t="n">
        <v>1239</v>
      </c>
      <c r="G69" s="150" t="inlineStr">
        <is>
          <t>kg</t>
        </is>
      </c>
      <c r="H69" s="152" t="n">
        <v>4.19</v>
      </c>
      <c r="I69" s="152" t="n">
        <v>5193.98</v>
      </c>
      <c r="J69" s="152" t="n">
        <v>675.22</v>
      </c>
      <c r="K69" s="152" t="n">
        <v>5869.2</v>
      </c>
      <c r="L69" s="149" t="inlineStr">
        <is>
          <t>已完成</t>
        </is>
      </c>
    </row>
    <row r="70" ht="15" customHeight="1" s="96">
      <c r="A70" s="148" t="inlineStr">
        <is>
          <t>2025-05-21</t>
        </is>
      </c>
      <c r="B70" s="148" t="inlineStr">
        <is>
          <t>DD20250521020</t>
        </is>
      </c>
      <c r="C70" s="147" t="inlineStr">
        <is>
          <t>华泰金属</t>
        </is>
      </c>
      <c r="D70" s="147" t="inlineStr">
        <is>
          <t>铝板氧化</t>
        </is>
      </c>
      <c r="E70" s="147" t="inlineStr">
        <is>
          <t>按平方</t>
        </is>
      </c>
      <c r="F70" s="147" t="n">
        <v>1338</v>
      </c>
      <c r="G70" s="147" t="inlineStr">
        <is>
          <t>㎡</t>
        </is>
      </c>
      <c r="H70" s="151" t="n">
        <v>23.29</v>
      </c>
      <c r="I70" s="151" t="n">
        <v>31155.71</v>
      </c>
      <c r="J70" s="151" t="n">
        <v>4050.24</v>
      </c>
      <c r="K70" s="151" t="n">
        <v>35205.95</v>
      </c>
      <c r="L70" s="147" t="inlineStr">
        <is>
          <t>已完成</t>
        </is>
      </c>
    </row>
    <row r="71" ht="15" customHeight="1" s="96">
      <c r="A71" s="150" t="inlineStr">
        <is>
          <t>2025-05-18</t>
        </is>
      </c>
      <c r="B71" s="150" t="inlineStr">
        <is>
          <t>DD20250518021</t>
        </is>
      </c>
      <c r="C71" s="149" t="inlineStr">
        <is>
          <t>恒丰铝业</t>
        </is>
      </c>
      <c r="D71" s="149" t="inlineStr">
        <is>
          <t>铝件拉丝+氧化</t>
        </is>
      </c>
      <c r="E71" s="149" t="inlineStr">
        <is>
          <t>按件</t>
        </is>
      </c>
      <c r="F71" s="149" t="n">
        <v>55</v>
      </c>
      <c r="G71" s="149" t="inlineStr">
        <is>
          <t>件</t>
        </is>
      </c>
      <c r="H71" s="152" t="n">
        <v>2.48</v>
      </c>
      <c r="I71" s="152" t="n">
        <v>136.14</v>
      </c>
      <c r="J71" s="152" t="n">
        <v>17.7</v>
      </c>
      <c r="K71" s="152" t="n">
        <v>153.84</v>
      </c>
      <c r="L71" s="149" t="inlineStr">
        <is>
          <t>待加工</t>
        </is>
      </c>
    </row>
    <row r="72" ht="15" customHeight="1" s="96">
      <c r="A72" s="148" t="inlineStr">
        <is>
          <t>2025-05-16</t>
        </is>
      </c>
      <c r="B72" s="148" t="inlineStr">
        <is>
          <t>DD20250516022</t>
        </is>
      </c>
      <c r="C72" s="147" t="inlineStr">
        <is>
          <t>博远五金</t>
        </is>
      </c>
      <c r="D72" s="147" t="inlineStr">
        <is>
          <t>铝件氧化-黑色</t>
        </is>
      </c>
      <c r="E72" s="147" t="inlineStr">
        <is>
          <t>按米重</t>
        </is>
      </c>
      <c r="F72" s="147" t="n">
        <v>501</v>
      </c>
      <c r="G72" s="148" t="inlineStr">
        <is>
          <t>kg</t>
        </is>
      </c>
      <c r="H72" s="151" t="n">
        <v>4.17</v>
      </c>
      <c r="I72" s="151" t="n">
        <v>2086.95</v>
      </c>
      <c r="J72" s="151" t="n">
        <v>271.3</v>
      </c>
      <c r="K72" s="151" t="n">
        <v>2358.25</v>
      </c>
      <c r="L72" s="147" t="inlineStr">
        <is>
          <t>进行中</t>
        </is>
      </c>
    </row>
    <row r="73" ht="15" customHeight="1" s="96">
      <c r="A73" s="150" t="inlineStr">
        <is>
          <t>2025-05-03</t>
        </is>
      </c>
      <c r="B73" s="150" t="inlineStr">
        <is>
          <t>DD20250503023</t>
        </is>
      </c>
      <c r="C73" s="149" t="inlineStr">
        <is>
          <t>华泰金属</t>
        </is>
      </c>
      <c r="D73" s="149" t="inlineStr">
        <is>
          <t>铝板氧化</t>
        </is>
      </c>
      <c r="E73" s="149" t="inlineStr">
        <is>
          <t>按平方</t>
        </is>
      </c>
      <c r="F73" s="149" t="n">
        <v>1586</v>
      </c>
      <c r="G73" s="149" t="inlineStr">
        <is>
          <t>㎡</t>
        </is>
      </c>
      <c r="H73" s="152" t="n">
        <v>25.63</v>
      </c>
      <c r="I73" s="152" t="n">
        <v>40641.71</v>
      </c>
      <c r="J73" s="152" t="n">
        <v>5283.42</v>
      </c>
      <c r="K73" s="152" t="n">
        <v>45925.13</v>
      </c>
      <c r="L73" s="149" t="inlineStr">
        <is>
          <t>已完成</t>
        </is>
      </c>
    </row>
    <row r="74" ht="15" customHeight="1" s="96">
      <c r="A74" s="148" t="inlineStr">
        <is>
          <t>2025-05-14</t>
        </is>
      </c>
      <c r="B74" s="148" t="inlineStr">
        <is>
          <t>DD20250514024</t>
        </is>
      </c>
      <c r="C74" s="147" t="inlineStr">
        <is>
          <t>恒丰铝业</t>
        </is>
      </c>
      <c r="D74" s="147" t="inlineStr">
        <is>
          <t>铜件氧化</t>
        </is>
      </c>
      <c r="E74" s="147" t="inlineStr">
        <is>
          <t>按件</t>
        </is>
      </c>
      <c r="F74" s="147" t="n">
        <v>1313</v>
      </c>
      <c r="G74" s="147" t="inlineStr">
        <is>
          <t>件</t>
        </is>
      </c>
      <c r="H74" s="151" t="n">
        <v>1.62</v>
      </c>
      <c r="I74" s="151" t="n">
        <v>2130.37</v>
      </c>
      <c r="J74" s="151" t="n">
        <v>276.95</v>
      </c>
      <c r="K74" s="151" t="n">
        <v>2407.32</v>
      </c>
      <c r="L74" s="147" t="inlineStr">
        <is>
          <t>已完成</t>
        </is>
      </c>
    </row>
    <row r="76" ht="15" customHeight="1" s="96">
      <c r="A76" s="153" t="inlineStr">
        <is>
          <t>(新增数据请在此行下方添加)</t>
        </is>
      </c>
      <c r="B76" s="154">
        <f>IF(A3="","",TEXT(A3,"DDyyyymmdd")&amp;TEXT(ROW(),"000"))</f>
        <v/>
      </c>
      <c r="C76" s="154" t="n"/>
      <c r="D76" s="154" t="n"/>
      <c r="E76" s="154" t="n"/>
      <c r="F76" s="154" t="n"/>
      <c r="G76" s="154" t="n"/>
      <c r="H76" s="154" t="n"/>
      <c r="I76" s="154" t="n"/>
      <c r="J76" s="154" t="n"/>
      <c r="K76" s="154" t="n"/>
      <c r="L76" s="154" t="n"/>
    </row>
  </sheetData>
  <conditionalFormatting sqref="L2:L2000">
    <cfRule type="cellIs" rank="0" priority="2" equalAverage="0" operator="equal" aboveAverage="0" dxfId="1" text="" percent="0" bottom="0">
      <formula>"进行中"</formula>
    </cfRule>
    <cfRule type="cellIs" rank="0" priority="3" equalAverage="0" operator="equal" aboveAverage="0" dxfId="2" text="" percent="0" bottom="0">
      <formula>"待加工"</formula>
    </cfRule>
    <cfRule type="cellIs" rank="0" priority="4" equalAverage="0" operator="equal" aboveAverage="0" dxfId="3" text="" percent="0" bottom="0">
      <formula>"已取消"</formula>
    </cfRule>
  </conditionalFormatting>
  <dataValidations count="2">
    <dataValidation sqref="E2:E1076" showDropDown="0" showInputMessage="0" showErrorMessage="0" allowBlank="1" type="list" errorStyle="stop" operator="between">
      <formula1>"按件,按条,按只,按个,按米长,按米重,按平方"</formula1>
      <formula2>0</formula2>
    </dataValidation>
    <dataValidation sqref="L2:L1076" showDropDown="0" showInputMessage="0" showErrorMessage="0" allowBlank="1" type="list" errorStyle="stop" operator="between">
      <formula1>"待加工,进行中,已完成,已取消"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0">
    <tabColor rgb="FFFFC000"/>
    <outlinePr summaryBelow="1" summaryRight="1"/>
    <pageSetUpPr fitToPage="0"/>
  </sheetPr>
  <dimension ref="A1:L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8" customWidth="1" style="95" min="1" max="1"/>
    <col width="14" customWidth="1" style="95" min="2" max="2"/>
    <col width="22" customWidth="1" style="95" min="3" max="3"/>
    <col width="8" customWidth="1" style="95" min="4" max="4"/>
    <col width="12" customWidth="1" style="95" min="5" max="5"/>
    <col width="10" customWidth="1" style="95" min="6" max="6"/>
    <col width="12" customWidth="1" style="95" min="7" max="7"/>
    <col width="10" customWidth="1" style="95" min="8" max="8"/>
    <col width="12" customWidth="1" style="95" min="9" max="9"/>
    <col width="10" customWidth="1" style="95" min="10" max="10"/>
    <col width="12" customWidth="1" style="95" min="11" max="11"/>
    <col width="18" customWidth="1" style="95" min="12" max="12"/>
  </cols>
  <sheetData>
    <row r="1" ht="15" customHeight="1" s="96">
      <c r="A1" s="155" t="inlineStr">
        <is>
          <t>生产进度跟踪</t>
        </is>
      </c>
    </row>
    <row r="2" ht="15" customHeight="1" s="96">
      <c r="A2" s="143" t="inlineStr">
        <is>
          <t>跟踪每笔订单从来料到出货的全流程</t>
        </is>
      </c>
    </row>
    <row r="3" ht="15" customHeight="1" s="96">
      <c r="A3" s="124" t="inlineStr">
        <is>
          <t>订单号</t>
        </is>
      </c>
      <c r="B3" s="124" t="inlineStr">
        <is>
          <t>客户</t>
        </is>
      </c>
      <c r="C3" s="124" t="inlineStr">
        <is>
          <t>产品</t>
        </is>
      </c>
      <c r="D3" s="124" t="inlineStr">
        <is>
          <t>数量</t>
        </is>
      </c>
      <c r="E3" s="124" t="inlineStr">
        <is>
          <t>来料日期</t>
        </is>
      </c>
      <c r="F3" s="124" t="inlineStr">
        <is>
          <t>喷砂状态</t>
        </is>
      </c>
      <c r="G3" s="124" t="inlineStr">
        <is>
          <t>喷砂完成日</t>
        </is>
      </c>
      <c r="H3" s="124" t="inlineStr">
        <is>
          <t>氧化状态</t>
        </is>
      </c>
      <c r="I3" s="124" t="inlineStr">
        <is>
          <t>氧化完成日</t>
        </is>
      </c>
      <c r="J3" s="124" t="inlineStr">
        <is>
          <t>出货状态</t>
        </is>
      </c>
      <c r="K3" s="124" t="inlineStr">
        <is>
          <t>出货日期</t>
        </is>
      </c>
      <c r="L3" s="124" t="inlineStr">
        <is>
          <t>备注</t>
        </is>
      </c>
    </row>
    <row r="4" ht="15" customHeight="1" s="96">
      <c r="A4" s="148" t="inlineStr">
        <is>
          <t>DD20250304001</t>
        </is>
      </c>
      <c r="B4" s="147" t="inlineStr">
        <is>
          <t>永达五金厂</t>
        </is>
      </c>
      <c r="C4" s="147" t="inlineStr">
        <is>
          <t>铝板氧化</t>
        </is>
      </c>
      <c r="D4" s="147" t="n">
        <v>528</v>
      </c>
      <c r="E4" s="148" t="inlineStr">
        <is>
          <t>2025-03-04</t>
        </is>
      </c>
      <c r="F4" s="156" t="inlineStr">
        <is>
          <t>已完成</t>
        </is>
      </c>
      <c r="G4" s="148" t="inlineStr">
        <is>
          <t>2025-03-06</t>
        </is>
      </c>
      <c r="H4" s="156" t="inlineStr">
        <is>
          <t>已完成</t>
        </is>
      </c>
      <c r="I4" s="148" t="inlineStr">
        <is>
          <t>2025-03-09</t>
        </is>
      </c>
      <c r="J4" s="156" t="inlineStr">
        <is>
          <t>已出货</t>
        </is>
      </c>
      <c r="K4" s="148" t="inlineStr">
        <is>
          <t>2025-03-11</t>
        </is>
      </c>
      <c r="L4" s="147" t="n"/>
    </row>
    <row r="5" ht="15" customHeight="1" s="96">
      <c r="A5" s="150" t="inlineStr">
        <is>
          <t>DD20250322002</t>
        </is>
      </c>
      <c r="B5" s="149" t="inlineStr">
        <is>
          <t>恒丰铝业</t>
        </is>
      </c>
      <c r="C5" s="149" t="inlineStr">
        <is>
          <t>铝外壳氧化</t>
        </is>
      </c>
      <c r="D5" s="149" t="n">
        <v>112</v>
      </c>
      <c r="E5" s="150" t="inlineStr">
        <is>
          <t>2025-03-22</t>
        </is>
      </c>
      <c r="F5" s="157" t="inlineStr">
        <is>
          <t>已完成</t>
        </is>
      </c>
      <c r="G5" s="150" t="inlineStr">
        <is>
          <t>2025-03-24</t>
        </is>
      </c>
      <c r="H5" s="157" t="inlineStr">
        <is>
          <t>已完成</t>
        </is>
      </c>
      <c r="I5" s="150" t="inlineStr">
        <is>
          <t>2025-03-27</t>
        </is>
      </c>
      <c r="J5" s="157" t="inlineStr">
        <is>
          <t>已出货</t>
        </is>
      </c>
      <c r="K5" s="150" t="inlineStr">
        <is>
          <t>2025-03-28</t>
        </is>
      </c>
      <c r="L5" s="149" t="n"/>
    </row>
    <row r="6" ht="15" customHeight="1" s="96">
      <c r="A6" s="148" t="inlineStr">
        <is>
          <t>DD20250308004</t>
        </is>
      </c>
      <c r="B6" s="147" t="inlineStr">
        <is>
          <t>瑞丰金属</t>
        </is>
      </c>
      <c r="C6" s="147" t="inlineStr">
        <is>
          <t>铝板氧化</t>
        </is>
      </c>
      <c r="D6" s="147" t="n">
        <v>1628</v>
      </c>
      <c r="E6" s="148" t="inlineStr">
        <is>
          <t>2025-03-08</t>
        </is>
      </c>
      <c r="F6" s="156" t="inlineStr">
        <is>
          <t>已完成</t>
        </is>
      </c>
      <c r="G6" s="148" t="inlineStr">
        <is>
          <t>2025-03-10</t>
        </is>
      </c>
      <c r="H6" s="156" t="inlineStr">
        <is>
          <t>已完成</t>
        </is>
      </c>
      <c r="I6" s="148" t="inlineStr">
        <is>
          <t>2025-03-13</t>
        </is>
      </c>
      <c r="J6" s="156" t="inlineStr">
        <is>
          <t>已出货</t>
        </is>
      </c>
      <c r="K6" s="148" t="inlineStr">
        <is>
          <t>2025-03-15</t>
        </is>
      </c>
      <c r="L6" s="147" t="n"/>
    </row>
    <row r="7" ht="15" customHeight="1" s="96">
      <c r="A7" s="150" t="inlineStr">
        <is>
          <t>DD20250323005</t>
        </is>
      </c>
      <c r="B7" s="149" t="inlineStr">
        <is>
          <t>宏盛五金</t>
        </is>
      </c>
      <c r="C7" s="149" t="inlineStr">
        <is>
          <t>铝型材氧化-银白</t>
        </is>
      </c>
      <c r="D7" s="149" t="n">
        <v>592</v>
      </c>
      <c r="E7" s="150" t="inlineStr">
        <is>
          <t>2025-03-23</t>
        </is>
      </c>
      <c r="F7" s="157" t="inlineStr">
        <is>
          <t>已完成</t>
        </is>
      </c>
      <c r="G7" s="150" t="inlineStr">
        <is>
          <t>2025-03-25</t>
        </is>
      </c>
      <c r="H7" s="157" t="inlineStr">
        <is>
          <t>已完成</t>
        </is>
      </c>
      <c r="I7" s="150" t="inlineStr">
        <is>
          <t>2025-03-28</t>
        </is>
      </c>
      <c r="J7" s="157" t="inlineStr">
        <is>
          <t>已出货</t>
        </is>
      </c>
      <c r="K7" s="150" t="inlineStr">
        <is>
          <t>2025-03-28</t>
        </is>
      </c>
      <c r="L7" s="149" t="n"/>
    </row>
    <row r="8" ht="15" customHeight="1" s="96">
      <c r="A8" s="148" t="inlineStr">
        <is>
          <t>DD20250303008</t>
        </is>
      </c>
      <c r="B8" s="147" t="inlineStr">
        <is>
          <t>博远五金</t>
        </is>
      </c>
      <c r="C8" s="147" t="inlineStr">
        <is>
          <t>铝型材氧化-黑色</t>
        </is>
      </c>
      <c r="D8" s="147" t="n">
        <v>1176</v>
      </c>
      <c r="E8" s="148" t="inlineStr">
        <is>
          <t>2025-03-03</t>
        </is>
      </c>
      <c r="F8" s="156" t="inlineStr">
        <is>
          <t>已完成</t>
        </is>
      </c>
      <c r="G8" s="148" t="inlineStr">
        <is>
          <t>2025-03-05</t>
        </is>
      </c>
      <c r="H8" s="156" t="inlineStr">
        <is>
          <t>已完成</t>
        </is>
      </c>
      <c r="I8" s="148" t="inlineStr">
        <is>
          <t>2025-03-08</t>
        </is>
      </c>
      <c r="J8" s="156" t="inlineStr">
        <is>
          <t>已出货</t>
        </is>
      </c>
      <c r="K8" s="148" t="inlineStr">
        <is>
          <t>2025-03-10</t>
        </is>
      </c>
      <c r="L8" s="147" t="n"/>
    </row>
    <row r="9" ht="15" customHeight="1" s="96">
      <c r="A9" s="148" t="inlineStr">
        <is>
          <t>DD20250317003</t>
        </is>
      </c>
      <c r="B9" s="147" t="inlineStr">
        <is>
          <t>永达五金厂</t>
        </is>
      </c>
      <c r="C9" s="147" t="inlineStr">
        <is>
          <t>铝件抛光+氧化</t>
        </is>
      </c>
      <c r="D9" s="147" t="n">
        <v>1446</v>
      </c>
      <c r="E9" s="148" t="inlineStr">
        <is>
          <t>2025-03-17</t>
        </is>
      </c>
      <c r="F9" s="147" t="inlineStr">
        <is>
          <t>已完成</t>
        </is>
      </c>
      <c r="G9" s="148" t="inlineStr">
        <is>
          <t>2025-03-19</t>
        </is>
      </c>
      <c r="H9" s="126" t="inlineStr">
        <is>
          <t>进行中</t>
        </is>
      </c>
      <c r="I9" s="147" t="n"/>
      <c r="J9" s="158" t="inlineStr">
        <is>
          <t>未开始</t>
        </is>
      </c>
      <c r="K9" s="147" t="n"/>
      <c r="L9" s="147" t="inlineStr">
        <is>
          <t>待氧化完成</t>
        </is>
      </c>
    </row>
    <row r="10" ht="15" customHeight="1" s="96">
      <c r="A10" s="150" t="inlineStr">
        <is>
          <t>DD20250309007</t>
        </is>
      </c>
      <c r="B10" s="149" t="inlineStr">
        <is>
          <t>永达五金厂</t>
        </is>
      </c>
      <c r="C10" s="149" t="inlineStr">
        <is>
          <t>铝件喷砂(委外)</t>
        </is>
      </c>
      <c r="D10" s="149" t="n">
        <v>1096</v>
      </c>
      <c r="E10" s="150" t="inlineStr">
        <is>
          <t>2025-03-09</t>
        </is>
      </c>
      <c r="F10" s="149" t="inlineStr">
        <is>
          <t>已完成</t>
        </is>
      </c>
      <c r="G10" s="150" t="inlineStr">
        <is>
          <t>2025-03-11</t>
        </is>
      </c>
      <c r="H10" s="128" t="inlineStr">
        <is>
          <t>进行中</t>
        </is>
      </c>
      <c r="I10" s="149" t="n"/>
      <c r="J10" s="159" t="inlineStr">
        <is>
          <t>未开始</t>
        </is>
      </c>
      <c r="K10" s="149" t="n"/>
      <c r="L10" s="149" t="inlineStr">
        <is>
          <t>待氧化完成</t>
        </is>
      </c>
    </row>
    <row r="11" ht="15" customHeight="1" s="96">
      <c r="A11" s="148" t="inlineStr">
        <is>
          <t>DD20250326019</t>
        </is>
      </c>
      <c r="B11" s="147" t="inlineStr">
        <is>
          <t>宏盛五金</t>
        </is>
      </c>
      <c r="C11" s="147" t="inlineStr">
        <is>
          <t>铝件氧化-香槟</t>
        </is>
      </c>
      <c r="D11" s="147" t="n">
        <v>800</v>
      </c>
      <c r="E11" s="148" t="inlineStr">
        <is>
          <t>2025-03-26</t>
        </is>
      </c>
      <c r="F11" s="147" t="inlineStr">
        <is>
          <t>已完成</t>
        </is>
      </c>
      <c r="G11" s="148" t="inlineStr">
        <is>
          <t>2025-03-28</t>
        </is>
      </c>
      <c r="H11" s="126" t="inlineStr">
        <is>
          <t>进行中</t>
        </is>
      </c>
      <c r="I11" s="147" t="n"/>
      <c r="J11" s="158" t="inlineStr">
        <is>
          <t>未开始</t>
        </is>
      </c>
      <c r="K11" s="147" t="n"/>
      <c r="L11" s="147" t="inlineStr">
        <is>
          <t>待氧化完成</t>
        </is>
      </c>
    </row>
    <row r="12" ht="15" customHeight="1" s="96">
      <c r="A12" s="150" t="inlineStr">
        <is>
          <t>DD20250325021</t>
        </is>
      </c>
      <c r="B12" s="149" t="inlineStr">
        <is>
          <t>博远五金</t>
        </is>
      </c>
      <c r="C12" s="149" t="inlineStr">
        <is>
          <t>铝型材氧化-银白</t>
        </is>
      </c>
      <c r="D12" s="149" t="n">
        <v>268</v>
      </c>
      <c r="E12" s="150" t="inlineStr">
        <is>
          <t>2025-03-25</t>
        </is>
      </c>
      <c r="F12" s="149" t="inlineStr">
        <is>
          <t>已完成</t>
        </is>
      </c>
      <c r="G12" s="150" t="inlineStr">
        <is>
          <t>2025-03-27</t>
        </is>
      </c>
      <c r="H12" s="128" t="inlineStr">
        <is>
          <t>进行中</t>
        </is>
      </c>
      <c r="I12" s="149" t="n"/>
      <c r="J12" s="159" t="inlineStr">
        <is>
          <t>未开始</t>
        </is>
      </c>
      <c r="K12" s="149" t="n"/>
      <c r="L12" s="149" t="inlineStr">
        <is>
          <t>待氧化完成</t>
        </is>
      </c>
    </row>
    <row r="13" ht="15" customHeight="1" s="96">
      <c r="A13" s="148" t="inlineStr">
        <is>
          <t>DD20250413006</t>
        </is>
      </c>
      <c r="B13" s="147" t="inlineStr">
        <is>
          <t>永达五金厂</t>
        </is>
      </c>
      <c r="C13" s="147" t="inlineStr">
        <is>
          <t>铝件抛光(委外)</t>
        </is>
      </c>
      <c r="D13" s="147" t="n">
        <v>484</v>
      </c>
      <c r="E13" s="148" t="inlineStr">
        <is>
          <t>2025-04-13</t>
        </is>
      </c>
      <c r="F13" s="147" t="inlineStr">
        <is>
          <t>已完成</t>
        </is>
      </c>
      <c r="G13" s="148" t="inlineStr">
        <is>
          <t>2025-04-15</t>
        </is>
      </c>
      <c r="H13" s="126" t="inlineStr">
        <is>
          <t>进行中</t>
        </is>
      </c>
      <c r="I13" s="147" t="n"/>
      <c r="J13" s="158" t="inlineStr">
        <is>
          <t>未开始</t>
        </is>
      </c>
      <c r="K13" s="147" t="n"/>
      <c r="L13" s="147" t="inlineStr">
        <is>
          <t>待氧化完成</t>
        </is>
      </c>
    </row>
  </sheetData>
  <dataValidations count="1">
    <dataValidation sqref="F4:F200 H4:H200 J4:J200" showDropDown="0" showInputMessage="0" showErrorMessage="0" allowBlank="1" type="list" errorStyle="stop" operator="between">
      <formula1>"未开始,进行中,已完成"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6" min="1" max="1"/>
    <col width="20" customWidth="1" style="96" min="2" max="2"/>
    <col width="14" customWidth="1" style="96" min="3" max="3"/>
    <col width="16" customWidth="1" style="96" min="4" max="4"/>
    <col width="14" customWidth="1" style="96" min="5" max="5"/>
    <col width="20" customWidth="1" style="96" min="6" max="6"/>
    <col width="16" customWidth="1" style="96" min="7" max="7"/>
    <col width="12" customWidth="1" style="96" min="8" max="8"/>
    <col width="14" customWidth="1" style="96" min="9" max="9"/>
    <col width="18" customWidth="1" style="96" min="10" max="10"/>
  </cols>
  <sheetData>
    <row r="1">
      <c r="A1" s="160" t="inlineStr">
        <is>
          <t>日期</t>
        </is>
      </c>
      <c r="B1" s="160" t="inlineStr">
        <is>
          <t>单据号</t>
        </is>
      </c>
      <c r="C1" s="160" t="inlineStr">
        <is>
          <t>客户名称</t>
        </is>
      </c>
      <c r="D1" s="160" t="inlineStr">
        <is>
          <t>收款金额(元)</t>
        </is>
      </c>
      <c r="E1" s="160" t="inlineStr">
        <is>
          <t>收款方式</t>
        </is>
      </c>
      <c r="F1" s="160" t="inlineStr">
        <is>
          <t>摘要</t>
        </is>
      </c>
      <c r="G1" s="160" t="inlineStr">
        <is>
          <t>关联订单号</t>
        </is>
      </c>
      <c r="H1" s="160" t="inlineStr">
        <is>
          <t>结算状态</t>
        </is>
      </c>
      <c r="I1" s="160" t="inlineStr">
        <is>
          <t>核销日期</t>
        </is>
      </c>
      <c r="J1" s="160" t="inlineStr">
        <is>
          <t>备注</t>
        </is>
      </c>
    </row>
    <row r="2">
      <c r="A2" s="161" t="inlineStr">
        <is>
          <t>2025-03-27</t>
        </is>
      </c>
      <c r="B2" s="161" t="inlineStr">
        <is>
          <t>SK20250327884</t>
        </is>
      </c>
      <c r="C2" s="162" t="inlineStr">
        <is>
          <t>恒丰铝业</t>
        </is>
      </c>
      <c r="D2" s="163" t="n">
        <v>19603.72</v>
      </c>
      <c r="E2" s="161" t="inlineStr">
        <is>
          <t>微信收款</t>
        </is>
      </c>
      <c r="F2" s="162" t="inlineStr">
        <is>
          <t>收恒丰铝业加工费</t>
        </is>
      </c>
      <c r="G2" s="161" t="inlineStr">
        <is>
          <t>GD20250327125</t>
        </is>
      </c>
      <c r="H2" s="161" t="inlineStr">
        <is>
          <t>未核销</t>
        </is>
      </c>
      <c r="I2" s="161" t="inlineStr"/>
      <c r="J2" s="162" t="inlineStr"/>
    </row>
    <row r="3">
      <c r="A3" s="164" t="inlineStr">
        <is>
          <t>2025-03-05</t>
        </is>
      </c>
      <c r="B3" s="164" t="inlineStr">
        <is>
          <t>SK20250305269</t>
        </is>
      </c>
      <c r="C3" s="165" t="inlineStr">
        <is>
          <t>鑫达精密</t>
        </is>
      </c>
      <c r="D3" s="166" t="n">
        <v>13875.51</v>
      </c>
      <c r="E3" s="164" t="inlineStr">
        <is>
          <t>微信收款</t>
        </is>
      </c>
      <c r="F3" s="165" t="inlineStr">
        <is>
          <t>收鑫达精密加工费</t>
        </is>
      </c>
      <c r="G3" s="164" t="inlineStr"/>
      <c r="H3" s="164" t="inlineStr">
        <is>
          <t>已核销</t>
        </is>
      </c>
      <c r="I3" s="164" t="inlineStr">
        <is>
          <t>2025-03-17</t>
        </is>
      </c>
      <c r="J3" s="165" t="inlineStr"/>
    </row>
    <row r="4">
      <c r="A4" s="161" t="inlineStr">
        <is>
          <t>2025-03-09</t>
        </is>
      </c>
      <c r="B4" s="161" t="inlineStr">
        <is>
          <t>SK20250309873</t>
        </is>
      </c>
      <c r="C4" s="162" t="inlineStr">
        <is>
          <t>宏盛五金</t>
        </is>
      </c>
      <c r="D4" s="163" t="n">
        <v>19358.53</v>
      </c>
      <c r="E4" s="161" t="inlineStr">
        <is>
          <t>微信收款</t>
        </is>
      </c>
      <c r="F4" s="162" t="inlineStr">
        <is>
          <t>收宏盛五金加工费</t>
        </is>
      </c>
      <c r="G4" s="161" t="inlineStr"/>
      <c r="H4" s="161" t="inlineStr">
        <is>
          <t>已核销</t>
        </is>
      </c>
      <c r="I4" s="161" t="inlineStr">
        <is>
          <t>2025-03-19</t>
        </is>
      </c>
      <c r="J4" s="162" t="inlineStr"/>
    </row>
    <row r="5">
      <c r="A5" s="164" t="inlineStr">
        <is>
          <t>2025-03-24</t>
        </is>
      </c>
      <c r="B5" s="164" t="inlineStr">
        <is>
          <t>SK20250324787</t>
        </is>
      </c>
      <c r="C5" s="165" t="inlineStr">
        <is>
          <t>华泰金属</t>
        </is>
      </c>
      <c r="D5" s="166" t="n">
        <v>14833.08</v>
      </c>
      <c r="E5" s="164" t="inlineStr">
        <is>
          <t>微信收款</t>
        </is>
      </c>
      <c r="F5" s="165" t="inlineStr">
        <is>
          <t>收华泰金属加工费</t>
        </is>
      </c>
      <c r="G5" s="164" t="inlineStr">
        <is>
          <t>GD20250324130</t>
        </is>
      </c>
      <c r="H5" s="164" t="inlineStr">
        <is>
          <t>已核销</t>
        </is>
      </c>
      <c r="I5" s="164" t="inlineStr">
        <is>
          <t>2025-03-28</t>
        </is>
      </c>
      <c r="J5" s="165" t="inlineStr"/>
    </row>
    <row r="6">
      <c r="A6" s="161" t="inlineStr">
        <is>
          <t>2025-03-21</t>
        </is>
      </c>
      <c r="B6" s="161" t="inlineStr">
        <is>
          <t>SK20250321562</t>
        </is>
      </c>
      <c r="C6" s="162" t="inlineStr">
        <is>
          <t>天成铝材</t>
        </is>
      </c>
      <c r="D6" s="163" t="n">
        <v>9885.799999999999</v>
      </c>
      <c r="E6" s="161" t="inlineStr">
        <is>
          <t>微信收款</t>
        </is>
      </c>
      <c r="F6" s="162" t="inlineStr">
        <is>
          <t>收天成铝材加工费</t>
        </is>
      </c>
      <c r="G6" s="161" t="inlineStr"/>
      <c r="H6" s="161" t="inlineStr">
        <is>
          <t>已核销</t>
        </is>
      </c>
      <c r="I6" s="161" t="inlineStr">
        <is>
          <t>2025-03-30</t>
        </is>
      </c>
      <c r="J6" s="162" t="inlineStr"/>
    </row>
    <row r="7">
      <c r="A7" s="164" t="inlineStr">
        <is>
          <t>2025-03-04</t>
        </is>
      </c>
      <c r="B7" s="164" t="inlineStr">
        <is>
          <t>SK20250304121</t>
        </is>
      </c>
      <c r="C7" s="165" t="inlineStr">
        <is>
          <t>华泰金属</t>
        </is>
      </c>
      <c r="D7" s="166" t="n">
        <v>6044.55</v>
      </c>
      <c r="E7" s="164" t="inlineStr">
        <is>
          <t>N银行转账</t>
        </is>
      </c>
      <c r="F7" s="165" t="inlineStr">
        <is>
          <t>收华泰金属加工费</t>
        </is>
      </c>
      <c r="G7" s="164" t="inlineStr"/>
      <c r="H7" s="164" t="inlineStr">
        <is>
          <t>未核销</t>
        </is>
      </c>
      <c r="I7" s="164" t="inlineStr"/>
      <c r="J7" s="165" t="inlineStr"/>
    </row>
    <row r="8">
      <c r="A8" s="161" t="inlineStr">
        <is>
          <t>2025-03-19</t>
        </is>
      </c>
      <c r="B8" s="161" t="inlineStr">
        <is>
          <t>SK20250319172</t>
        </is>
      </c>
      <c r="C8" s="162" t="inlineStr">
        <is>
          <t>华泰金属</t>
        </is>
      </c>
      <c r="D8" s="163" t="n">
        <v>12591.92</v>
      </c>
      <c r="E8" s="161" t="inlineStr">
        <is>
          <t>G银行转账</t>
        </is>
      </c>
      <c r="F8" s="162" t="inlineStr">
        <is>
          <t>收华泰金属加工费</t>
        </is>
      </c>
      <c r="G8" s="161" t="inlineStr"/>
      <c r="H8" s="161" t="inlineStr">
        <is>
          <t>未核销</t>
        </is>
      </c>
      <c r="I8" s="161" t="inlineStr"/>
      <c r="J8" s="162" t="inlineStr"/>
    </row>
    <row r="9">
      <c r="A9" s="164" t="inlineStr">
        <is>
          <t>2025-03-23</t>
        </is>
      </c>
      <c r="B9" s="164" t="inlineStr">
        <is>
          <t>SK20250323980</t>
        </is>
      </c>
      <c r="C9" s="165" t="inlineStr">
        <is>
          <t>永达五金厂</t>
        </is>
      </c>
      <c r="D9" s="166" t="n">
        <v>6120.95</v>
      </c>
      <c r="E9" s="164" t="inlineStr">
        <is>
          <t>G银行转账</t>
        </is>
      </c>
      <c r="F9" s="165" t="inlineStr">
        <is>
          <t>收永达五金厂加工费</t>
        </is>
      </c>
      <c r="G9" s="164" t="inlineStr">
        <is>
          <t>GD20250323106</t>
        </is>
      </c>
      <c r="H9" s="164" t="inlineStr">
        <is>
          <t>已核销</t>
        </is>
      </c>
      <c r="I9" s="164" t="inlineStr">
        <is>
          <t>2025-04-04</t>
        </is>
      </c>
      <c r="J9" s="165" t="inlineStr"/>
    </row>
    <row r="10">
      <c r="A10" s="161" t="inlineStr">
        <is>
          <t>2025-03-11</t>
        </is>
      </c>
      <c r="B10" s="161" t="inlineStr">
        <is>
          <t>SK20250311785</t>
        </is>
      </c>
      <c r="C10" s="162" t="inlineStr">
        <is>
          <t>恒丰铝业</t>
        </is>
      </c>
      <c r="D10" s="163" t="n">
        <v>11254.81</v>
      </c>
      <c r="E10" s="161" t="inlineStr">
        <is>
          <t>N银行转账</t>
        </is>
      </c>
      <c r="F10" s="162" t="inlineStr">
        <is>
          <t>收恒丰铝业加工费</t>
        </is>
      </c>
      <c r="G10" s="161" t="inlineStr">
        <is>
          <t>GD20250311384</t>
        </is>
      </c>
      <c r="H10" s="161" t="inlineStr">
        <is>
          <t>已核销</t>
        </is>
      </c>
      <c r="I10" s="161" t="inlineStr">
        <is>
          <t>2025-03-15</t>
        </is>
      </c>
      <c r="J10" s="162" t="inlineStr"/>
    </row>
    <row r="11">
      <c r="A11" s="164" t="inlineStr">
        <is>
          <t>2025-03-16</t>
        </is>
      </c>
      <c r="B11" s="164" t="inlineStr">
        <is>
          <t>SK20250316690</t>
        </is>
      </c>
      <c r="C11" s="165" t="inlineStr">
        <is>
          <t>华泰金属</t>
        </is>
      </c>
      <c r="D11" s="166" t="n">
        <v>11706.21</v>
      </c>
      <c r="E11" s="164" t="inlineStr">
        <is>
          <t>微信收款</t>
        </is>
      </c>
      <c r="F11" s="165" t="inlineStr">
        <is>
          <t>收华泰金属加工费</t>
        </is>
      </c>
      <c r="G11" s="164" t="inlineStr">
        <is>
          <t>GD20250316444</t>
        </is>
      </c>
      <c r="H11" s="164" t="inlineStr">
        <is>
          <t>已核销</t>
        </is>
      </c>
      <c r="I11" s="164" t="inlineStr">
        <is>
          <t>2025-03-18</t>
        </is>
      </c>
      <c r="J11" s="165" t="inlineStr"/>
    </row>
    <row r="12">
      <c r="A12" s="161" t="inlineStr">
        <is>
          <t>2025-03-16</t>
        </is>
      </c>
      <c r="B12" s="161" t="inlineStr">
        <is>
          <t>SK20250316294</t>
        </is>
      </c>
      <c r="C12" s="162" t="inlineStr">
        <is>
          <t>华泰金属</t>
        </is>
      </c>
      <c r="D12" s="163" t="n">
        <v>16123.15</v>
      </c>
      <c r="E12" s="161" t="inlineStr">
        <is>
          <t>微信收款</t>
        </is>
      </c>
      <c r="F12" s="162" t="inlineStr">
        <is>
          <t>收华泰金属加工费</t>
        </is>
      </c>
      <c r="G12" s="161" t="inlineStr"/>
      <c r="H12" s="161" t="inlineStr">
        <is>
          <t>未核销</t>
        </is>
      </c>
      <c r="I12" s="161" t="inlineStr"/>
      <c r="J12" s="162" t="inlineStr"/>
    </row>
    <row r="13">
      <c r="A13" s="164" t="inlineStr">
        <is>
          <t>2025-03-04</t>
        </is>
      </c>
      <c r="B13" s="164" t="inlineStr">
        <is>
          <t>SK20250304533</t>
        </is>
      </c>
      <c r="C13" s="165" t="inlineStr">
        <is>
          <t>恒丰铝业</t>
        </is>
      </c>
      <c r="D13" s="166" t="n">
        <v>13861.69</v>
      </c>
      <c r="E13" s="164" t="inlineStr">
        <is>
          <t>N银行转账</t>
        </is>
      </c>
      <c r="F13" s="165" t="inlineStr">
        <is>
          <t>收恒丰铝业加工费</t>
        </is>
      </c>
      <c r="G13" s="164" t="inlineStr">
        <is>
          <t>GD20250304718</t>
        </is>
      </c>
      <c r="H13" s="164" t="inlineStr">
        <is>
          <t>未核销</t>
        </is>
      </c>
      <c r="I13" s="164" t="inlineStr"/>
      <c r="J13" s="165" t="inlineStr"/>
    </row>
    <row r="14">
      <c r="A14" s="161" t="inlineStr">
        <is>
          <t>2025-03-14</t>
        </is>
      </c>
      <c r="B14" s="161" t="inlineStr">
        <is>
          <t>SK20250314789</t>
        </is>
      </c>
      <c r="C14" s="162" t="inlineStr">
        <is>
          <t>瑞丰金属</t>
        </is>
      </c>
      <c r="D14" s="163" t="n">
        <v>17549.06</v>
      </c>
      <c r="E14" s="161" t="inlineStr">
        <is>
          <t>G银行转账</t>
        </is>
      </c>
      <c r="F14" s="162" t="inlineStr">
        <is>
          <t>收瑞丰金属加工费</t>
        </is>
      </c>
      <c r="G14" s="161" t="inlineStr">
        <is>
          <t>GD20250314847</t>
        </is>
      </c>
      <c r="H14" s="161" t="inlineStr">
        <is>
          <t>未核销</t>
        </is>
      </c>
      <c r="I14" s="161" t="inlineStr"/>
      <c r="J14" s="162" t="inlineStr"/>
    </row>
    <row r="15">
      <c r="A15" s="164" t="inlineStr">
        <is>
          <t>2025-03-21</t>
        </is>
      </c>
      <c r="B15" s="164" t="inlineStr">
        <is>
          <t>SK20250321919</t>
        </is>
      </c>
      <c r="C15" s="165" t="inlineStr">
        <is>
          <t>恒丰铝业</t>
        </is>
      </c>
      <c r="D15" s="166" t="n">
        <v>3091.03</v>
      </c>
      <c r="E15" s="164" t="inlineStr">
        <is>
          <t>N银行转账</t>
        </is>
      </c>
      <c r="F15" s="165" t="inlineStr">
        <is>
          <t>收恒丰铝业加工费</t>
        </is>
      </c>
      <c r="G15" s="164" t="inlineStr">
        <is>
          <t>GD20250321487</t>
        </is>
      </c>
      <c r="H15" s="164" t="inlineStr">
        <is>
          <t>已核销</t>
        </is>
      </c>
      <c r="I15" s="164" t="inlineStr">
        <is>
          <t>2025-03-30</t>
        </is>
      </c>
      <c r="J15" s="165" t="inlineStr"/>
    </row>
    <row r="16">
      <c r="A16" s="161" t="inlineStr">
        <is>
          <t>2025-03-28</t>
        </is>
      </c>
      <c r="B16" s="161" t="inlineStr">
        <is>
          <t>SK20250328649</t>
        </is>
      </c>
      <c r="C16" s="162" t="inlineStr">
        <is>
          <t>恒丰铝业</t>
        </is>
      </c>
      <c r="D16" s="163" t="n">
        <v>6475.81</v>
      </c>
      <c r="E16" s="161" t="inlineStr">
        <is>
          <t>G银行转账</t>
        </is>
      </c>
      <c r="F16" s="162" t="inlineStr">
        <is>
          <t>收恒丰铝业加工费</t>
        </is>
      </c>
      <c r="G16" s="161" t="inlineStr"/>
      <c r="H16" s="161" t="inlineStr">
        <is>
          <t>未核销</t>
        </is>
      </c>
      <c r="I16" s="161" t="inlineStr"/>
      <c r="J16" s="162" t="inlineStr"/>
    </row>
    <row r="17">
      <c r="A17" s="164" t="inlineStr">
        <is>
          <t>2025-04-22</t>
        </is>
      </c>
      <c r="B17" s="164" t="inlineStr">
        <is>
          <t>SK20250422727</t>
        </is>
      </c>
      <c r="C17" s="165" t="inlineStr">
        <is>
          <t>天成铝材</t>
        </is>
      </c>
      <c r="D17" s="166" t="n">
        <v>19100.71</v>
      </c>
      <c r="E17" s="164" t="inlineStr">
        <is>
          <t>微信收款</t>
        </is>
      </c>
      <c r="F17" s="165" t="inlineStr">
        <is>
          <t>收天成铝材加工费</t>
        </is>
      </c>
      <c r="G17" s="164" t="inlineStr">
        <is>
          <t>GD20250422821</t>
        </is>
      </c>
      <c r="H17" s="164" t="inlineStr">
        <is>
          <t>已核销</t>
        </is>
      </c>
      <c r="I17" s="164" t="inlineStr">
        <is>
          <t>2025-04-23</t>
        </is>
      </c>
      <c r="J17" s="165" t="inlineStr"/>
    </row>
    <row r="18">
      <c r="A18" s="161" t="inlineStr">
        <is>
          <t>2025-04-27</t>
        </is>
      </c>
      <c r="B18" s="161" t="inlineStr">
        <is>
          <t>SK20250427556</t>
        </is>
      </c>
      <c r="C18" s="162" t="inlineStr">
        <is>
          <t>宏盛五金</t>
        </is>
      </c>
      <c r="D18" s="163" t="n">
        <v>16950.25</v>
      </c>
      <c r="E18" s="161" t="inlineStr">
        <is>
          <t>微信收款</t>
        </is>
      </c>
      <c r="F18" s="162" t="inlineStr">
        <is>
          <t>收宏盛五金加工费</t>
        </is>
      </c>
      <c r="G18" s="161" t="inlineStr">
        <is>
          <t>GD20250427891</t>
        </is>
      </c>
      <c r="H18" s="161" t="inlineStr">
        <is>
          <t>未核销</t>
        </is>
      </c>
      <c r="I18" s="161" t="inlineStr"/>
      <c r="J18" s="162" t="inlineStr"/>
    </row>
    <row r="19">
      <c r="A19" s="164" t="inlineStr">
        <is>
          <t>2025-04-06</t>
        </is>
      </c>
      <c r="B19" s="164" t="inlineStr">
        <is>
          <t>SK20250406960</t>
        </is>
      </c>
      <c r="C19" s="165" t="inlineStr">
        <is>
          <t>瑞丰金属</t>
        </is>
      </c>
      <c r="D19" s="166" t="n">
        <v>10101.26</v>
      </c>
      <c r="E19" s="164" t="inlineStr">
        <is>
          <t>G银行转账</t>
        </is>
      </c>
      <c r="F19" s="165" t="inlineStr">
        <is>
          <t>收瑞丰金属加工费</t>
        </is>
      </c>
      <c r="G19" s="164" t="inlineStr">
        <is>
          <t>GD20250406975</t>
        </is>
      </c>
      <c r="H19" s="164" t="inlineStr">
        <is>
          <t>已核销</t>
        </is>
      </c>
      <c r="I19" s="164" t="inlineStr">
        <is>
          <t>2025-04-20</t>
        </is>
      </c>
      <c r="J19" s="165" t="inlineStr"/>
    </row>
    <row r="20">
      <c r="A20" s="161" t="inlineStr">
        <is>
          <t>2025-04-21</t>
        </is>
      </c>
      <c r="B20" s="161" t="inlineStr">
        <is>
          <t>SK20250421596</t>
        </is>
      </c>
      <c r="C20" s="162" t="inlineStr">
        <is>
          <t>博远五金</t>
        </is>
      </c>
      <c r="D20" s="163" t="n">
        <v>15784.65</v>
      </c>
      <c r="E20" s="161" t="inlineStr">
        <is>
          <t>微信收款</t>
        </is>
      </c>
      <c r="F20" s="162" t="inlineStr">
        <is>
          <t>收博远五金加工费</t>
        </is>
      </c>
      <c r="G20" s="161" t="inlineStr"/>
      <c r="H20" s="161" t="inlineStr">
        <is>
          <t>未核销</t>
        </is>
      </c>
      <c r="I20" s="161" t="inlineStr"/>
      <c r="J20" s="162" t="inlineStr"/>
    </row>
    <row r="21">
      <c r="A21" s="164" t="inlineStr">
        <is>
          <t>2025-04-21</t>
        </is>
      </c>
      <c r="B21" s="164" t="inlineStr">
        <is>
          <t>SK20250421830</t>
        </is>
      </c>
      <c r="C21" s="165" t="inlineStr">
        <is>
          <t>华泰金属</t>
        </is>
      </c>
      <c r="D21" s="166" t="n">
        <v>6942.75</v>
      </c>
      <c r="E21" s="164" t="inlineStr">
        <is>
          <t>G银行转账</t>
        </is>
      </c>
      <c r="F21" s="165" t="inlineStr">
        <is>
          <t>收华泰金属加工费</t>
        </is>
      </c>
      <c r="G21" s="164" t="inlineStr">
        <is>
          <t>GD20250421954</t>
        </is>
      </c>
      <c r="H21" s="164" t="inlineStr">
        <is>
          <t>未核销</t>
        </is>
      </c>
      <c r="I21" s="164" t="inlineStr"/>
      <c r="J21" s="165" t="inlineStr"/>
    </row>
    <row r="22">
      <c r="A22" s="161" t="inlineStr">
        <is>
          <t>2025-04-10</t>
        </is>
      </c>
      <c r="B22" s="161" t="inlineStr">
        <is>
          <t>SK20250410653</t>
        </is>
      </c>
      <c r="C22" s="162" t="inlineStr">
        <is>
          <t>华泰金属</t>
        </is>
      </c>
      <c r="D22" s="163" t="n">
        <v>6890.87</v>
      </c>
      <c r="E22" s="161" t="inlineStr">
        <is>
          <t>N银行转账</t>
        </is>
      </c>
      <c r="F22" s="162" t="inlineStr">
        <is>
          <t>收华泰金属加工费</t>
        </is>
      </c>
      <c r="G22" s="161" t="inlineStr"/>
      <c r="H22" s="161" t="inlineStr">
        <is>
          <t>未核销</t>
        </is>
      </c>
      <c r="I22" s="161" t="inlineStr"/>
      <c r="J22" s="162" t="inlineStr"/>
    </row>
    <row r="23">
      <c r="A23" s="164" t="inlineStr">
        <is>
          <t>2025-04-03</t>
        </is>
      </c>
      <c r="B23" s="164" t="inlineStr">
        <is>
          <t>SK20250403810</t>
        </is>
      </c>
      <c r="C23" s="165" t="inlineStr">
        <is>
          <t>鑫达精密</t>
        </is>
      </c>
      <c r="D23" s="166" t="n">
        <v>4714.95</v>
      </c>
      <c r="E23" s="164" t="inlineStr">
        <is>
          <t>微信收款</t>
        </is>
      </c>
      <c r="F23" s="165" t="inlineStr">
        <is>
          <t>收鑫达精密加工费</t>
        </is>
      </c>
      <c r="G23" s="164" t="inlineStr"/>
      <c r="H23" s="164" t="inlineStr">
        <is>
          <t>未核销</t>
        </is>
      </c>
      <c r="I23" s="164" t="inlineStr"/>
      <c r="J23" s="165" t="inlineStr"/>
    </row>
    <row r="24">
      <c r="A24" s="161" t="inlineStr">
        <is>
          <t>2025-04-05</t>
        </is>
      </c>
      <c r="B24" s="161" t="inlineStr">
        <is>
          <t>SK20250405438</t>
        </is>
      </c>
      <c r="C24" s="162" t="inlineStr">
        <is>
          <t>华泰金属</t>
        </is>
      </c>
      <c r="D24" s="163" t="n">
        <v>3156.12</v>
      </c>
      <c r="E24" s="161" t="inlineStr">
        <is>
          <t>微信收款</t>
        </is>
      </c>
      <c r="F24" s="162" t="inlineStr">
        <is>
          <t>收华泰金属加工费</t>
        </is>
      </c>
      <c r="G24" s="161" t="inlineStr">
        <is>
          <t>GD20250405799</t>
        </is>
      </c>
      <c r="H24" s="161" t="inlineStr">
        <is>
          <t>已核销</t>
        </is>
      </c>
      <c r="I24" s="161" t="inlineStr">
        <is>
          <t>2025-04-15</t>
        </is>
      </c>
      <c r="J24" s="162" t="inlineStr"/>
    </row>
    <row r="25">
      <c r="A25" s="164" t="inlineStr">
        <is>
          <t>2025-04-18</t>
        </is>
      </c>
      <c r="B25" s="164" t="inlineStr">
        <is>
          <t>SK20250418952</t>
        </is>
      </c>
      <c r="C25" s="165" t="inlineStr">
        <is>
          <t>瑞丰金属</t>
        </is>
      </c>
      <c r="D25" s="166" t="n">
        <v>9483.940000000001</v>
      </c>
      <c r="E25" s="164" t="inlineStr">
        <is>
          <t>G银行转账</t>
        </is>
      </c>
      <c r="F25" s="165" t="inlineStr">
        <is>
          <t>收瑞丰金属加工费</t>
        </is>
      </c>
      <c r="G25" s="164" t="inlineStr">
        <is>
          <t>GD20250418646</t>
        </is>
      </c>
      <c r="H25" s="164" t="inlineStr">
        <is>
          <t>已核销</t>
        </is>
      </c>
      <c r="I25" s="164" t="inlineStr">
        <is>
          <t>2025-04-21</t>
        </is>
      </c>
      <c r="J25" s="165" t="inlineStr"/>
    </row>
    <row r="26">
      <c r="A26" s="161" t="inlineStr">
        <is>
          <t>2025-04-14</t>
        </is>
      </c>
      <c r="B26" s="161" t="inlineStr">
        <is>
          <t>SK20250414812</t>
        </is>
      </c>
      <c r="C26" s="162" t="inlineStr">
        <is>
          <t>宏盛五金</t>
        </is>
      </c>
      <c r="D26" s="163" t="n">
        <v>18287.09</v>
      </c>
      <c r="E26" s="161" t="inlineStr">
        <is>
          <t>微信收款</t>
        </is>
      </c>
      <c r="F26" s="162" t="inlineStr">
        <is>
          <t>收宏盛五金加工费</t>
        </is>
      </c>
      <c r="G26" s="161" t="inlineStr">
        <is>
          <t>GD20250414376</t>
        </is>
      </c>
      <c r="H26" s="161" t="inlineStr">
        <is>
          <t>已核销</t>
        </is>
      </c>
      <c r="I26" s="161" t="inlineStr">
        <is>
          <t>2025-04-25</t>
        </is>
      </c>
      <c r="J26" s="162" t="inlineStr"/>
    </row>
    <row r="27">
      <c r="A27" s="164" t="inlineStr">
        <is>
          <t>2025-04-01</t>
        </is>
      </c>
      <c r="B27" s="164" t="inlineStr">
        <is>
          <t>SK20250401405</t>
        </is>
      </c>
      <c r="C27" s="165" t="inlineStr">
        <is>
          <t>宏盛五金</t>
        </is>
      </c>
      <c r="D27" s="166" t="n">
        <v>10585.64</v>
      </c>
      <c r="E27" s="164" t="inlineStr">
        <is>
          <t>N银行转账</t>
        </is>
      </c>
      <c r="F27" s="165" t="inlineStr">
        <is>
          <t>收宏盛五金加工费</t>
        </is>
      </c>
      <c r="G27" s="164" t="inlineStr"/>
      <c r="H27" s="164" t="inlineStr">
        <is>
          <t>已核销</t>
        </is>
      </c>
      <c r="I27" s="164" t="inlineStr">
        <is>
          <t>2025-04-05</t>
        </is>
      </c>
      <c r="J27" s="165" t="inlineStr"/>
    </row>
    <row r="28">
      <c r="A28" s="161" t="inlineStr">
        <is>
          <t>2025-04-25</t>
        </is>
      </c>
      <c r="B28" s="161" t="inlineStr">
        <is>
          <t>SK20250425651</t>
        </is>
      </c>
      <c r="C28" s="162" t="inlineStr">
        <is>
          <t>宏盛五金</t>
        </is>
      </c>
      <c r="D28" s="163" t="n">
        <v>17362.06</v>
      </c>
      <c r="E28" s="161" t="inlineStr">
        <is>
          <t>微信收款</t>
        </is>
      </c>
      <c r="F28" s="162" t="inlineStr">
        <is>
          <t>收宏盛五金加工费</t>
        </is>
      </c>
      <c r="G28" s="161" t="inlineStr">
        <is>
          <t>GD20250425924</t>
        </is>
      </c>
      <c r="H28" s="161" t="inlineStr">
        <is>
          <t>未核销</t>
        </is>
      </c>
      <c r="I28" s="161" t="inlineStr"/>
      <c r="J28" s="162" t="inlineStr"/>
    </row>
    <row r="29">
      <c r="A29" s="164" t="inlineStr">
        <is>
          <t>2025-04-24</t>
        </is>
      </c>
      <c r="B29" s="164" t="inlineStr">
        <is>
          <t>SK20250424546</t>
        </is>
      </c>
      <c r="C29" s="165" t="inlineStr">
        <is>
          <t>华泰金属</t>
        </is>
      </c>
      <c r="D29" s="166" t="n">
        <v>10788.13</v>
      </c>
      <c r="E29" s="164" t="inlineStr">
        <is>
          <t>N银行转账</t>
        </is>
      </c>
      <c r="F29" s="165" t="inlineStr">
        <is>
          <t>收华泰金属加工费</t>
        </is>
      </c>
      <c r="G29" s="164" t="inlineStr">
        <is>
          <t>GD20250424167</t>
        </is>
      </c>
      <c r="H29" s="164" t="inlineStr">
        <is>
          <t>已核销</t>
        </is>
      </c>
      <c r="I29" s="164" t="inlineStr">
        <is>
          <t>2025-05-09</t>
        </is>
      </c>
      <c r="J29" s="165" t="inlineStr"/>
    </row>
    <row r="30">
      <c r="A30" s="161" t="inlineStr">
        <is>
          <t>2025-04-16</t>
        </is>
      </c>
      <c r="B30" s="161" t="inlineStr">
        <is>
          <t>SK20250416841</t>
        </is>
      </c>
      <c r="C30" s="162" t="inlineStr">
        <is>
          <t>永达五金厂</t>
        </is>
      </c>
      <c r="D30" s="163" t="n">
        <v>8999.43</v>
      </c>
      <c r="E30" s="161" t="inlineStr">
        <is>
          <t>微信收款</t>
        </is>
      </c>
      <c r="F30" s="162" t="inlineStr">
        <is>
          <t>收永达五金厂加工费</t>
        </is>
      </c>
      <c r="G30" s="161" t="inlineStr">
        <is>
          <t>GD20250416997</t>
        </is>
      </c>
      <c r="H30" s="161" t="inlineStr">
        <is>
          <t>未核销</t>
        </is>
      </c>
      <c r="I30" s="161" t="inlineStr"/>
      <c r="J30" s="162" t="inlineStr"/>
    </row>
    <row r="31">
      <c r="A31" s="164" t="inlineStr">
        <is>
          <t>2025-04-06</t>
        </is>
      </c>
      <c r="B31" s="164" t="inlineStr">
        <is>
          <t>SK20250406646</t>
        </is>
      </c>
      <c r="C31" s="165" t="inlineStr">
        <is>
          <t>瑞丰金属</t>
        </is>
      </c>
      <c r="D31" s="166" t="n">
        <v>18551.75</v>
      </c>
      <c r="E31" s="164" t="inlineStr">
        <is>
          <t>微信收款</t>
        </is>
      </c>
      <c r="F31" s="165" t="inlineStr">
        <is>
          <t>收瑞丰金属加工费</t>
        </is>
      </c>
      <c r="G31" s="164" t="inlineStr"/>
      <c r="H31" s="164" t="inlineStr">
        <is>
          <t>未核销</t>
        </is>
      </c>
      <c r="I31" s="164" t="inlineStr"/>
      <c r="J31" s="165" t="inlineStr"/>
    </row>
    <row r="32">
      <c r="A32" s="161" t="inlineStr">
        <is>
          <t>2025-05-02</t>
        </is>
      </c>
      <c r="B32" s="161" t="inlineStr">
        <is>
          <t>SK20250502866</t>
        </is>
      </c>
      <c r="C32" s="162" t="inlineStr">
        <is>
          <t>鑫达精密</t>
        </is>
      </c>
      <c r="D32" s="163" t="n">
        <v>16267.31</v>
      </c>
      <c r="E32" s="161" t="inlineStr">
        <is>
          <t>微信收款</t>
        </is>
      </c>
      <c r="F32" s="162" t="inlineStr">
        <is>
          <t>收鑫达精密加工费</t>
        </is>
      </c>
      <c r="G32" s="161" t="inlineStr"/>
      <c r="H32" s="161" t="inlineStr">
        <is>
          <t>未核销</t>
        </is>
      </c>
      <c r="I32" s="161" t="inlineStr"/>
      <c r="J32" s="162" t="inlineStr"/>
    </row>
    <row r="33">
      <c r="A33" s="164" t="inlineStr">
        <is>
          <t>2025-05-27</t>
        </is>
      </c>
      <c r="B33" s="164" t="inlineStr">
        <is>
          <t>SK20250527805</t>
        </is>
      </c>
      <c r="C33" s="165" t="inlineStr">
        <is>
          <t>博远五金</t>
        </is>
      </c>
      <c r="D33" s="166" t="n">
        <v>9904.76</v>
      </c>
      <c r="E33" s="164" t="inlineStr">
        <is>
          <t>微信收款</t>
        </is>
      </c>
      <c r="F33" s="165" t="inlineStr">
        <is>
          <t>收博远五金加工费</t>
        </is>
      </c>
      <c r="G33" s="164" t="inlineStr"/>
      <c r="H33" s="164" t="inlineStr">
        <is>
          <t>已核销</t>
        </is>
      </c>
      <c r="I33" s="164" t="inlineStr">
        <is>
          <t>2025-05-31</t>
        </is>
      </c>
      <c r="J33" s="165" t="inlineStr"/>
    </row>
    <row r="34">
      <c r="A34" s="161" t="inlineStr">
        <is>
          <t>2025-05-10</t>
        </is>
      </c>
      <c r="B34" s="161" t="inlineStr">
        <is>
          <t>SK20250510652</t>
        </is>
      </c>
      <c r="C34" s="162" t="inlineStr">
        <is>
          <t>宏盛五金</t>
        </is>
      </c>
      <c r="D34" s="163" t="n">
        <v>18968.17</v>
      </c>
      <c r="E34" s="161" t="inlineStr">
        <is>
          <t>微信收款</t>
        </is>
      </c>
      <c r="F34" s="162" t="inlineStr">
        <is>
          <t>收宏盛五金加工费</t>
        </is>
      </c>
      <c r="G34" s="161" t="inlineStr">
        <is>
          <t>GD20250510651</t>
        </is>
      </c>
      <c r="H34" s="161" t="inlineStr">
        <is>
          <t>未核销</t>
        </is>
      </c>
      <c r="I34" s="161" t="inlineStr"/>
      <c r="J34" s="162" t="inlineStr"/>
    </row>
    <row r="35">
      <c r="A35" s="164" t="inlineStr">
        <is>
          <t>2025-05-16</t>
        </is>
      </c>
      <c r="B35" s="164" t="inlineStr">
        <is>
          <t>SK20250516542</t>
        </is>
      </c>
      <c r="C35" s="165" t="inlineStr">
        <is>
          <t>瑞丰金属</t>
        </is>
      </c>
      <c r="D35" s="166" t="n">
        <v>3447.95</v>
      </c>
      <c r="E35" s="164" t="inlineStr">
        <is>
          <t>G银行转账</t>
        </is>
      </c>
      <c r="F35" s="165" t="inlineStr">
        <is>
          <t>收瑞丰金属加工费</t>
        </is>
      </c>
      <c r="G35" s="164" t="inlineStr">
        <is>
          <t>GD20250516538</t>
        </is>
      </c>
      <c r="H35" s="164" t="inlineStr">
        <is>
          <t>未核销</t>
        </is>
      </c>
      <c r="I35" s="164" t="inlineStr"/>
      <c r="J35" s="165" t="inlineStr"/>
    </row>
    <row r="36">
      <c r="A36" s="161" t="inlineStr">
        <is>
          <t>2025-05-24</t>
        </is>
      </c>
      <c r="B36" s="161" t="inlineStr">
        <is>
          <t>SK20250524193</t>
        </is>
      </c>
      <c r="C36" s="162" t="inlineStr">
        <is>
          <t>天成铝材</t>
        </is>
      </c>
      <c r="D36" s="163" t="n">
        <v>12866.85</v>
      </c>
      <c r="E36" s="161" t="inlineStr">
        <is>
          <t>G银行转账</t>
        </is>
      </c>
      <c r="F36" s="162" t="inlineStr">
        <is>
          <t>收天成铝材加工费</t>
        </is>
      </c>
      <c r="G36" s="161" t="inlineStr"/>
      <c r="H36" s="161" t="inlineStr">
        <is>
          <t>已核销</t>
        </is>
      </c>
      <c r="I36" s="161" t="inlineStr">
        <is>
          <t>2025-06-02</t>
        </is>
      </c>
      <c r="J36" s="162" t="inlineStr"/>
    </row>
    <row r="37">
      <c r="A37" s="164" t="inlineStr">
        <is>
          <t>2025-05-08</t>
        </is>
      </c>
      <c r="B37" s="164" t="inlineStr">
        <is>
          <t>SK20250508690</t>
        </is>
      </c>
      <c r="C37" s="165" t="inlineStr">
        <is>
          <t>永达五金厂</t>
        </is>
      </c>
      <c r="D37" s="166" t="n">
        <v>19992.3</v>
      </c>
      <c r="E37" s="164" t="inlineStr">
        <is>
          <t>N银行转账</t>
        </is>
      </c>
      <c r="F37" s="165" t="inlineStr">
        <is>
          <t>收永达五金厂加工费</t>
        </is>
      </c>
      <c r="G37" s="164" t="inlineStr">
        <is>
          <t>GD20250508873</t>
        </is>
      </c>
      <c r="H37" s="164" t="inlineStr">
        <is>
          <t>已核销</t>
        </is>
      </c>
      <c r="I37" s="164" t="inlineStr">
        <is>
          <t>2025-05-22</t>
        </is>
      </c>
      <c r="J37" s="165" t="inlineStr"/>
    </row>
    <row r="38">
      <c r="A38" s="161" t="inlineStr">
        <is>
          <t>2025-05-02</t>
        </is>
      </c>
      <c r="B38" s="161" t="inlineStr">
        <is>
          <t>SK20250502384</t>
        </is>
      </c>
      <c r="C38" s="162" t="inlineStr">
        <is>
          <t>鑫达精密</t>
        </is>
      </c>
      <c r="D38" s="163" t="n">
        <v>10469.01</v>
      </c>
      <c r="E38" s="161" t="inlineStr">
        <is>
          <t>微信收款</t>
        </is>
      </c>
      <c r="F38" s="162" t="inlineStr">
        <is>
          <t>收鑫达精密加工费</t>
        </is>
      </c>
      <c r="G38" s="161" t="inlineStr"/>
      <c r="H38" s="161" t="inlineStr">
        <is>
          <t>已核销</t>
        </is>
      </c>
      <c r="I38" s="161" t="inlineStr">
        <is>
          <t>2025-05-15</t>
        </is>
      </c>
      <c r="J38" s="162" t="inlineStr"/>
    </row>
    <row r="39">
      <c r="A39" s="164" t="inlineStr">
        <is>
          <t>2025-05-06</t>
        </is>
      </c>
      <c r="B39" s="164" t="inlineStr">
        <is>
          <t>SK20250506193</t>
        </is>
      </c>
      <c r="C39" s="165" t="inlineStr">
        <is>
          <t>宏盛五金</t>
        </is>
      </c>
      <c r="D39" s="166" t="n">
        <v>13426.12</v>
      </c>
      <c r="E39" s="164" t="inlineStr">
        <is>
          <t>微信收款</t>
        </is>
      </c>
      <c r="F39" s="165" t="inlineStr">
        <is>
          <t>收宏盛五金加工费</t>
        </is>
      </c>
      <c r="G39" s="164" t="inlineStr">
        <is>
          <t>GD20250506710</t>
        </is>
      </c>
      <c r="H39" s="164" t="inlineStr">
        <is>
          <t>已核销</t>
        </is>
      </c>
      <c r="I39" s="164" t="inlineStr">
        <is>
          <t>2025-05-13</t>
        </is>
      </c>
      <c r="J39" s="165" t="inlineStr"/>
    </row>
    <row r="40">
      <c r="A40" s="161" t="inlineStr">
        <is>
          <t>2025-05-16</t>
        </is>
      </c>
      <c r="B40" s="161" t="inlineStr">
        <is>
          <t>SK20250516786</t>
        </is>
      </c>
      <c r="C40" s="162" t="inlineStr">
        <is>
          <t>天成铝材</t>
        </is>
      </c>
      <c r="D40" s="163" t="n">
        <v>9350.27</v>
      </c>
      <c r="E40" s="161" t="inlineStr">
        <is>
          <t>N银行转账</t>
        </is>
      </c>
      <c r="F40" s="162" t="inlineStr">
        <is>
          <t>收天成铝材加工费</t>
        </is>
      </c>
      <c r="G40" s="161" t="inlineStr"/>
      <c r="H40" s="161" t="inlineStr">
        <is>
          <t>未核销</t>
        </is>
      </c>
      <c r="I40" s="161" t="inlineStr"/>
      <c r="J40" s="162" t="inlineStr"/>
    </row>
    <row r="41">
      <c r="A41" s="164" t="inlineStr">
        <is>
          <t>(新增数据请在此行下方添加)</t>
        </is>
      </c>
      <c r="B41" s="164">
        <f>IF(A3="","",TEXT(A3,"SKyyyymmdd")&amp;TEXT(ROW(),"000"))</f>
        <v/>
      </c>
      <c r="C41" s="165" t="n"/>
      <c r="D41" s="166" t="n"/>
      <c r="E41" s="164" t="n"/>
      <c r="F41" s="165" t="n"/>
      <c r="G41" s="164" t="inlineStr">
        <is>
          <t>GD(新增数据请在此666</t>
        </is>
      </c>
      <c r="H41" s="164" t="inlineStr">
        <is>
          <t>已核销</t>
        </is>
      </c>
      <c r="I41" s="164" t="inlineStr"/>
      <c r="J41" s="165" t="inlineStr"/>
    </row>
    <row r="42">
      <c r="A42" s="167" t="inlineStr">
        <is>
          <t>合计</t>
        </is>
      </c>
      <c r="B42" s="168" t="n"/>
      <c r="C42" s="168" t="n"/>
      <c r="D42" s="169">
        <f>SUM(D2:D41)</f>
        <v/>
      </c>
      <c r="E42" s="168" t="n"/>
      <c r="F42" s="168" t="n"/>
      <c r="G42" s="168" t="n"/>
      <c r="H42" s="168" t="n"/>
      <c r="I42" s="168" t="n"/>
      <c r="J42" s="168" t="n"/>
    </row>
    <row r="44">
      <c r="A44" s="170" t="inlineStr">
        <is>
          <t>(新增数据请在此行下方添加)</t>
        </is>
      </c>
      <c r="B44" s="170">
        <f>IF(A3="","",TEXT(A3,"SKyyyymmdd")&amp;TEXT(ROW(),"000"))</f>
        <v/>
      </c>
    </row>
  </sheetData>
  <dataValidations count="2">
    <dataValidation sqref="E2:E91" showDropDown="0" showInputMessage="0" showErrorMessage="0" allowBlank="1" errorTitle="输入错误" error="请从下拉列表中选择收款方式" promptTitle="收款方式" prompt="请选择收款方式" type="list">
      <formula1>"G银行转账,N银行转账,微信收款,现金"</formula1>
    </dataValidation>
    <dataValidation sqref="H2:H91" showDropDown="0" showInputMessage="0" showErrorMessage="0" allowBlank="1" errorTitle="输入错误" error="请从下拉列表中选择结算状态" promptTitle="结算状态" prompt="请选择结算状态" type="list">
      <formula1>"已核销,未核销"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6" min="1" max="1"/>
    <col width="20" customWidth="1" style="96" min="2" max="2"/>
    <col width="16" customWidth="1" style="96" min="3" max="3"/>
    <col width="16" customWidth="1" style="96" min="4" max="4"/>
    <col width="14" customWidth="1" style="96" min="5" max="5"/>
    <col width="14" customWidth="1" style="96" min="6" max="6"/>
    <col width="22" customWidth="1" style="96" min="7" max="7"/>
    <col width="16" customWidth="1" style="96" min="8" max="8"/>
    <col width="12" customWidth="1" style="96" min="9" max="9"/>
    <col width="18" customWidth="1" style="96" min="10" max="10"/>
  </cols>
  <sheetData>
    <row r="1">
      <c r="A1" s="160" t="inlineStr">
        <is>
          <t>日期</t>
        </is>
      </c>
      <c r="B1" s="160" t="inlineStr">
        <is>
          <t>单据号</t>
        </is>
      </c>
      <c r="C1" s="160" t="inlineStr">
        <is>
          <t>供应商/用途</t>
        </is>
      </c>
      <c r="D1" s="160" t="inlineStr">
        <is>
          <t>付款金额(元)</t>
        </is>
      </c>
      <c r="E1" s="160" t="inlineStr">
        <is>
          <t>付款方式</t>
        </is>
      </c>
      <c r="F1" s="160" t="inlineStr">
        <is>
          <t>费用分类</t>
        </is>
      </c>
      <c r="G1" s="160" t="inlineStr">
        <is>
          <t>摘要</t>
        </is>
      </c>
      <c r="H1" s="160" t="inlineStr">
        <is>
          <t>关联发票号</t>
        </is>
      </c>
      <c r="I1" s="160" t="inlineStr">
        <is>
          <t>结算状态</t>
        </is>
      </c>
      <c r="J1" s="160" t="inlineStr">
        <is>
          <t>备注</t>
        </is>
      </c>
    </row>
    <row r="2">
      <c r="A2" s="161" t="inlineStr">
        <is>
          <t>2025-03-05</t>
        </is>
      </c>
      <c r="B2" s="161" t="inlineStr">
        <is>
          <t>FK20250305355</t>
        </is>
      </c>
      <c r="C2" s="162" t="inlineStr">
        <is>
          <t>AA喷砂厂</t>
        </is>
      </c>
      <c r="D2" s="163" t="n">
        <v>3160.58</v>
      </c>
      <c r="E2" s="161" t="inlineStr">
        <is>
          <t>微信付款</t>
        </is>
      </c>
      <c r="F2" s="161" t="inlineStr">
        <is>
          <t>外发加工费</t>
        </is>
      </c>
      <c r="G2" s="162" t="inlineStr">
        <is>
          <t>付AA喷砂厂喷砂委外加工</t>
        </is>
      </c>
      <c r="H2" s="161" t="inlineStr"/>
      <c r="I2" s="161" t="inlineStr">
        <is>
          <t>已核销</t>
        </is>
      </c>
      <c r="J2" s="162" t="inlineStr"/>
    </row>
    <row r="3">
      <c r="A3" s="164" t="inlineStr">
        <is>
          <t>2025-03-28</t>
        </is>
      </c>
      <c r="B3" s="164" t="inlineStr">
        <is>
          <t>FK20250328200</t>
        </is>
      </c>
      <c r="C3" s="165" t="inlineStr">
        <is>
          <t>XX化工</t>
        </is>
      </c>
      <c r="D3" s="166" t="n">
        <v>6925.4</v>
      </c>
      <c r="E3" s="164" t="inlineStr">
        <is>
          <t>现金</t>
        </is>
      </c>
      <c r="F3" s="164" t="inlineStr">
        <is>
          <t>材料费</t>
        </is>
      </c>
      <c r="G3" s="165" t="inlineStr">
        <is>
          <t>付XX化工三酸/片碱/亚钠</t>
        </is>
      </c>
      <c r="H3" s="164" t="inlineStr">
        <is>
          <t>FP20250858</t>
        </is>
      </c>
      <c r="I3" s="164" t="inlineStr">
        <is>
          <t>已核销</t>
        </is>
      </c>
      <c r="J3" s="165" t="inlineStr"/>
    </row>
    <row r="4">
      <c r="A4" s="161" t="inlineStr">
        <is>
          <t>2025-03-02</t>
        </is>
      </c>
      <c r="B4" s="161" t="inlineStr">
        <is>
          <t>FK20250302871</t>
        </is>
      </c>
      <c r="C4" s="162" t="inlineStr">
        <is>
          <t>BB抛光厂</t>
        </is>
      </c>
      <c r="D4" s="163" t="n">
        <v>12622.4</v>
      </c>
      <c r="E4" s="161" t="inlineStr">
        <is>
          <t>G银行转账</t>
        </is>
      </c>
      <c r="F4" s="161" t="inlineStr">
        <is>
          <t>外发加工费</t>
        </is>
      </c>
      <c r="G4" s="162" t="inlineStr">
        <is>
          <t>付BB抛光厂抛光委外加工</t>
        </is>
      </c>
      <c r="H4" s="161" t="inlineStr"/>
      <c r="I4" s="161" t="inlineStr">
        <is>
          <t>未核销</t>
        </is>
      </c>
      <c r="J4" s="162" t="inlineStr"/>
    </row>
    <row r="5">
      <c r="A5" s="164" t="inlineStr">
        <is>
          <t>2025-03-28</t>
        </is>
      </c>
      <c r="B5" s="164" t="inlineStr">
        <is>
          <t>FK20250328592</t>
        </is>
      </c>
      <c r="C5" s="165" t="inlineStr">
        <is>
          <t>YY化工</t>
        </is>
      </c>
      <c r="D5" s="166" t="n">
        <v>2911.51</v>
      </c>
      <c r="E5" s="164" t="inlineStr">
        <is>
          <t>微信付款</t>
        </is>
      </c>
      <c r="F5" s="164" t="inlineStr">
        <is>
          <t>材料费</t>
        </is>
      </c>
      <c r="G5" s="165" t="inlineStr">
        <is>
          <t>付YY化工色粉/除油剂</t>
        </is>
      </c>
      <c r="H5" s="164" t="inlineStr">
        <is>
          <t>FP20251153</t>
        </is>
      </c>
      <c r="I5" s="164" t="inlineStr">
        <is>
          <t>未核销</t>
        </is>
      </c>
      <c r="J5" s="165" t="inlineStr"/>
    </row>
    <row r="6">
      <c r="A6" s="161" t="inlineStr">
        <is>
          <t>2025-03-07</t>
        </is>
      </c>
      <c r="B6" s="161" t="inlineStr">
        <is>
          <t>FK20250307488</t>
        </is>
      </c>
      <c r="C6" s="162" t="inlineStr">
        <is>
          <t>AA喷砂厂</t>
        </is>
      </c>
      <c r="D6" s="163" t="n">
        <v>13585.42</v>
      </c>
      <c r="E6" s="161" t="inlineStr">
        <is>
          <t>G银行转账</t>
        </is>
      </c>
      <c r="F6" s="161" t="inlineStr">
        <is>
          <t>外发加工费</t>
        </is>
      </c>
      <c r="G6" s="162" t="inlineStr">
        <is>
          <t>付AA喷砂厂喷砂委外加工</t>
        </is>
      </c>
      <c r="H6" s="161" t="inlineStr">
        <is>
          <t>FP20251221</t>
        </is>
      </c>
      <c r="I6" s="161" t="inlineStr">
        <is>
          <t>未核销</t>
        </is>
      </c>
      <c r="J6" s="162" t="inlineStr"/>
    </row>
    <row r="7">
      <c r="A7" s="164" t="inlineStr">
        <is>
          <t>2025-03-01</t>
        </is>
      </c>
      <c r="B7" s="164" t="inlineStr">
        <is>
          <t>FK20250301392</t>
        </is>
      </c>
      <c r="C7" s="165" t="inlineStr">
        <is>
          <t>AA喷砂厂</t>
        </is>
      </c>
      <c r="D7" s="166" t="n">
        <v>4345.44</v>
      </c>
      <c r="E7" s="164" t="inlineStr">
        <is>
          <t>微信付款</t>
        </is>
      </c>
      <c r="F7" s="164" t="inlineStr">
        <is>
          <t>外发加工费</t>
        </is>
      </c>
      <c r="G7" s="165" t="inlineStr">
        <is>
          <t>付AA喷砂厂喷砂委外加工</t>
        </is>
      </c>
      <c r="H7" s="164" t="inlineStr"/>
      <c r="I7" s="164" t="inlineStr">
        <is>
          <t>已核销</t>
        </is>
      </c>
      <c r="J7" s="165" t="inlineStr"/>
    </row>
    <row r="8">
      <c r="A8" s="161" t="inlineStr">
        <is>
          <t>2025-03-14</t>
        </is>
      </c>
      <c r="B8" s="161" t="inlineStr">
        <is>
          <t>FK20250314258</t>
        </is>
      </c>
      <c r="C8" s="162" t="inlineStr">
        <is>
          <t>BB抛光厂</t>
        </is>
      </c>
      <c r="D8" s="163" t="n">
        <v>10097.13</v>
      </c>
      <c r="E8" s="161" t="inlineStr">
        <is>
          <t>微信付款</t>
        </is>
      </c>
      <c r="F8" s="161" t="inlineStr">
        <is>
          <t>外发加工费</t>
        </is>
      </c>
      <c r="G8" s="162" t="inlineStr">
        <is>
          <t>付BB抛光厂抛光委外加工</t>
        </is>
      </c>
      <c r="H8" s="161" t="inlineStr">
        <is>
          <t>FP20250356</t>
        </is>
      </c>
      <c r="I8" s="161" t="inlineStr">
        <is>
          <t>未核销</t>
        </is>
      </c>
      <c r="J8" s="162" t="inlineStr"/>
    </row>
    <row r="9">
      <c r="A9" s="164" t="inlineStr">
        <is>
          <t>2025-03-07</t>
        </is>
      </c>
      <c r="B9" s="164" t="inlineStr">
        <is>
          <t>FK20250307693</t>
        </is>
      </c>
      <c r="C9" s="165" t="inlineStr">
        <is>
          <t>ZZ挂具厂</t>
        </is>
      </c>
      <c r="D9" s="166" t="n">
        <v>3656.66</v>
      </c>
      <c r="E9" s="164" t="inlineStr">
        <is>
          <t>G银行转账</t>
        </is>
      </c>
      <c r="F9" s="164" t="inlineStr">
        <is>
          <t>材料费</t>
        </is>
      </c>
      <c r="G9" s="165" t="inlineStr">
        <is>
          <t>付ZZ挂具厂挂具</t>
        </is>
      </c>
      <c r="H9" s="164" t="inlineStr"/>
      <c r="I9" s="164" t="inlineStr">
        <is>
          <t>已核销</t>
        </is>
      </c>
      <c r="J9" s="165" t="inlineStr"/>
    </row>
    <row r="10">
      <c r="A10" s="161" t="inlineStr">
        <is>
          <t>2025-03-24</t>
        </is>
      </c>
      <c r="B10" s="161" t="inlineStr">
        <is>
          <t>FK20250324158</t>
        </is>
      </c>
      <c r="C10" s="162" t="inlineStr">
        <is>
          <t>BB抛光厂</t>
        </is>
      </c>
      <c r="D10" s="163" t="n">
        <v>1383.88</v>
      </c>
      <c r="E10" s="161" t="inlineStr">
        <is>
          <t>N银行转账</t>
        </is>
      </c>
      <c r="F10" s="161" t="inlineStr">
        <is>
          <t>外发加工费</t>
        </is>
      </c>
      <c r="G10" s="162" t="inlineStr">
        <is>
          <t>付BB抛光厂抛光委外加工</t>
        </is>
      </c>
      <c r="H10" s="161" t="inlineStr">
        <is>
          <t>FP20251116</t>
        </is>
      </c>
      <c r="I10" s="161" t="inlineStr">
        <is>
          <t>已核销</t>
        </is>
      </c>
      <c r="J10" s="162" t="inlineStr"/>
    </row>
    <row r="11">
      <c r="A11" s="164" t="inlineStr">
        <is>
          <t>2025-03-02</t>
        </is>
      </c>
      <c r="B11" s="164" t="inlineStr">
        <is>
          <t>FK20250302261</t>
        </is>
      </c>
      <c r="C11" s="165" t="inlineStr">
        <is>
          <t>BB抛光厂</t>
        </is>
      </c>
      <c r="D11" s="166" t="n">
        <v>7413.43</v>
      </c>
      <c r="E11" s="164" t="inlineStr">
        <is>
          <t>现金</t>
        </is>
      </c>
      <c r="F11" s="164" t="inlineStr">
        <is>
          <t>外发加工费</t>
        </is>
      </c>
      <c r="G11" s="165" t="inlineStr">
        <is>
          <t>付BB抛光厂抛光委外加工</t>
        </is>
      </c>
      <c r="H11" s="164" t="inlineStr">
        <is>
          <t>FP20251138</t>
        </is>
      </c>
      <c r="I11" s="164" t="inlineStr">
        <is>
          <t>未核销</t>
        </is>
      </c>
      <c r="J11" s="165" t="inlineStr"/>
    </row>
    <row r="12">
      <c r="A12" s="161" t="inlineStr">
        <is>
          <t>2025-03-02</t>
        </is>
      </c>
      <c r="B12" s="161" t="inlineStr">
        <is>
          <t>FK20250302170</t>
        </is>
      </c>
      <c r="C12" s="162" t="inlineStr">
        <is>
          <t>BB抛光厂</t>
        </is>
      </c>
      <c r="D12" s="163" t="n">
        <v>1661.62</v>
      </c>
      <c r="E12" s="161" t="inlineStr">
        <is>
          <t>G银行转账</t>
        </is>
      </c>
      <c r="F12" s="161" t="inlineStr">
        <is>
          <t>外发加工费</t>
        </is>
      </c>
      <c r="G12" s="162" t="inlineStr">
        <is>
          <t>付BB抛光厂抛光委外加工</t>
        </is>
      </c>
      <c r="H12" s="161" t="inlineStr">
        <is>
          <t>FP20250872</t>
        </is>
      </c>
      <c r="I12" s="161" t="inlineStr">
        <is>
          <t>已核销</t>
        </is>
      </c>
      <c r="J12" s="162" t="inlineStr"/>
    </row>
    <row r="13">
      <c r="A13" s="164" t="inlineStr">
        <is>
          <t>2025-03-20</t>
        </is>
      </c>
      <c r="B13" s="164" t="inlineStr">
        <is>
          <t>FK20250320513</t>
        </is>
      </c>
      <c r="C13" s="165" t="inlineStr">
        <is>
          <t>XX化工</t>
        </is>
      </c>
      <c r="D13" s="166" t="n">
        <v>10290.58</v>
      </c>
      <c r="E13" s="164" t="inlineStr">
        <is>
          <t>G银行转账</t>
        </is>
      </c>
      <c r="F13" s="164" t="inlineStr">
        <is>
          <t>材料费</t>
        </is>
      </c>
      <c r="G13" s="165" t="inlineStr">
        <is>
          <t>付XX化工三酸/片碱/亚钠</t>
        </is>
      </c>
      <c r="H13" s="164" t="inlineStr"/>
      <c r="I13" s="164" t="inlineStr">
        <is>
          <t>已核销</t>
        </is>
      </c>
      <c r="J13" s="165" t="inlineStr"/>
    </row>
    <row r="14">
      <c r="A14" s="161" t="inlineStr">
        <is>
          <t>2025-03-04</t>
        </is>
      </c>
      <c r="B14" s="161" t="inlineStr">
        <is>
          <t>FK20250304140</t>
        </is>
      </c>
      <c r="C14" s="162" t="inlineStr">
        <is>
          <t>BB抛光厂</t>
        </is>
      </c>
      <c r="D14" s="163" t="n">
        <v>4070.12</v>
      </c>
      <c r="E14" s="161" t="inlineStr">
        <is>
          <t>现金</t>
        </is>
      </c>
      <c r="F14" s="161" t="inlineStr">
        <is>
          <t>外发加工费</t>
        </is>
      </c>
      <c r="G14" s="162" t="inlineStr">
        <is>
          <t>付BB抛光厂抛光委外加工</t>
        </is>
      </c>
      <c r="H14" s="161" t="inlineStr"/>
      <c r="I14" s="161" t="inlineStr">
        <is>
          <t>已核销</t>
        </is>
      </c>
      <c r="J14" s="162" t="inlineStr"/>
    </row>
    <row r="15">
      <c r="A15" s="164" t="inlineStr">
        <is>
          <t>2025-03-20</t>
        </is>
      </c>
      <c r="B15" s="164" t="inlineStr">
        <is>
          <t>FK20250320678</t>
        </is>
      </c>
      <c r="C15" s="165" t="inlineStr">
        <is>
          <t>XX化工</t>
        </is>
      </c>
      <c r="D15" s="166" t="n">
        <v>6578.76</v>
      </c>
      <c r="E15" s="164" t="inlineStr">
        <is>
          <t>现金</t>
        </is>
      </c>
      <c r="F15" s="164" t="inlineStr">
        <is>
          <t>材料费</t>
        </is>
      </c>
      <c r="G15" s="165" t="inlineStr">
        <is>
          <t>付XX化工三酸/片碱/亚钠</t>
        </is>
      </c>
      <c r="H15" s="164" t="inlineStr">
        <is>
          <t>FP20250707</t>
        </is>
      </c>
      <c r="I15" s="164" t="inlineStr">
        <is>
          <t>未核销</t>
        </is>
      </c>
      <c r="J15" s="165" t="inlineStr"/>
    </row>
    <row r="16">
      <c r="A16" s="161" t="inlineStr">
        <is>
          <t>2025-03-17</t>
        </is>
      </c>
      <c r="B16" s="161" t="inlineStr">
        <is>
          <t>FK20250317785</t>
        </is>
      </c>
      <c r="C16" s="162" t="inlineStr">
        <is>
          <t>ZZ挂具厂</t>
        </is>
      </c>
      <c r="D16" s="163" t="n">
        <v>14053.24</v>
      </c>
      <c r="E16" s="161" t="inlineStr">
        <is>
          <t>G银行转账</t>
        </is>
      </c>
      <c r="F16" s="161" t="inlineStr">
        <is>
          <t>材料费</t>
        </is>
      </c>
      <c r="G16" s="162" t="inlineStr">
        <is>
          <t>付ZZ挂具厂挂具</t>
        </is>
      </c>
      <c r="H16" s="161" t="inlineStr">
        <is>
          <t>FP20251170</t>
        </is>
      </c>
      <c r="I16" s="161" t="inlineStr">
        <is>
          <t>已核销</t>
        </is>
      </c>
      <c r="J16" s="162" t="inlineStr"/>
    </row>
    <row r="17">
      <c r="A17" s="164" t="inlineStr">
        <is>
          <t>2025-03-23</t>
        </is>
      </c>
      <c r="B17" s="164" t="inlineStr">
        <is>
          <t>FK20250323234</t>
        </is>
      </c>
      <c r="C17" s="165" t="inlineStr">
        <is>
          <t>ZZ挂具厂</t>
        </is>
      </c>
      <c r="D17" s="166" t="n">
        <v>3960.95</v>
      </c>
      <c r="E17" s="164" t="inlineStr">
        <is>
          <t>微信付款</t>
        </is>
      </c>
      <c r="F17" s="164" t="inlineStr">
        <is>
          <t>材料费</t>
        </is>
      </c>
      <c r="G17" s="165" t="inlineStr">
        <is>
          <t>付ZZ挂具厂挂具</t>
        </is>
      </c>
      <c r="H17" s="164" t="inlineStr">
        <is>
          <t>FP20250226</t>
        </is>
      </c>
      <c r="I17" s="164" t="inlineStr">
        <is>
          <t>已核销</t>
        </is>
      </c>
      <c r="J17" s="165" t="inlineStr"/>
    </row>
    <row r="18">
      <c r="A18" s="161" t="inlineStr">
        <is>
          <t>2025-03-22</t>
        </is>
      </c>
      <c r="B18" s="161" t="inlineStr">
        <is>
          <t>FK20250322109</t>
        </is>
      </c>
      <c r="C18" s="162" t="inlineStr">
        <is>
          <t>ZZ挂具厂</t>
        </is>
      </c>
      <c r="D18" s="163" t="n">
        <v>7129.76</v>
      </c>
      <c r="E18" s="161" t="inlineStr">
        <is>
          <t>G银行转账</t>
        </is>
      </c>
      <c r="F18" s="161" t="inlineStr">
        <is>
          <t>材料费</t>
        </is>
      </c>
      <c r="G18" s="162" t="inlineStr">
        <is>
          <t>付ZZ挂具厂挂具</t>
        </is>
      </c>
      <c r="H18" s="161" t="inlineStr">
        <is>
          <t>FP20251037</t>
        </is>
      </c>
      <c r="I18" s="161" t="inlineStr">
        <is>
          <t>未核销</t>
        </is>
      </c>
      <c r="J18" s="162" t="inlineStr"/>
    </row>
    <row r="19">
      <c r="A19" s="164" t="inlineStr">
        <is>
          <t>2025-04-13</t>
        </is>
      </c>
      <c r="B19" s="164" t="inlineStr">
        <is>
          <t>FK20250413185</t>
        </is>
      </c>
      <c r="C19" s="165" t="inlineStr">
        <is>
          <t>BB抛光厂</t>
        </is>
      </c>
      <c r="D19" s="166" t="n">
        <v>8683.68</v>
      </c>
      <c r="E19" s="164" t="inlineStr">
        <is>
          <t>G银行转账</t>
        </is>
      </c>
      <c r="F19" s="164" t="inlineStr">
        <is>
          <t>外发加工费</t>
        </is>
      </c>
      <c r="G19" s="165" t="inlineStr">
        <is>
          <t>付BB抛光厂抛光委外加工</t>
        </is>
      </c>
      <c r="H19" s="164" t="inlineStr"/>
      <c r="I19" s="164" t="inlineStr">
        <is>
          <t>未核销</t>
        </is>
      </c>
      <c r="J19" s="165" t="inlineStr"/>
    </row>
    <row r="20">
      <c r="A20" s="161" t="inlineStr">
        <is>
          <t>2025-04-21</t>
        </is>
      </c>
      <c r="B20" s="161" t="inlineStr">
        <is>
          <t>FK20250421286</t>
        </is>
      </c>
      <c r="C20" s="162" t="inlineStr">
        <is>
          <t>AA喷砂厂</t>
        </is>
      </c>
      <c r="D20" s="163" t="n">
        <v>2467.64</v>
      </c>
      <c r="E20" s="161" t="inlineStr">
        <is>
          <t>微信付款</t>
        </is>
      </c>
      <c r="F20" s="161" t="inlineStr">
        <is>
          <t>外发加工费</t>
        </is>
      </c>
      <c r="G20" s="162" t="inlineStr">
        <is>
          <t>付AA喷砂厂喷砂委外加工</t>
        </is>
      </c>
      <c r="H20" s="161" t="inlineStr"/>
      <c r="I20" s="161" t="inlineStr">
        <is>
          <t>已核销</t>
        </is>
      </c>
      <c r="J20" s="162" t="inlineStr"/>
    </row>
    <row r="21">
      <c r="A21" s="164" t="inlineStr">
        <is>
          <t>2025-04-02</t>
        </is>
      </c>
      <c r="B21" s="164" t="inlineStr">
        <is>
          <t>FK20250402565</t>
        </is>
      </c>
      <c r="C21" s="165" t="inlineStr">
        <is>
          <t>ZZ挂具厂</t>
        </is>
      </c>
      <c r="D21" s="166" t="n">
        <v>5997.01</v>
      </c>
      <c r="E21" s="164" t="inlineStr">
        <is>
          <t>G银行转账</t>
        </is>
      </c>
      <c r="F21" s="164" t="inlineStr">
        <is>
          <t>材料费</t>
        </is>
      </c>
      <c r="G21" s="165" t="inlineStr">
        <is>
          <t>付ZZ挂具厂挂具</t>
        </is>
      </c>
      <c r="H21" s="164" t="inlineStr">
        <is>
          <t>FP20250203</t>
        </is>
      </c>
      <c r="I21" s="164" t="inlineStr">
        <is>
          <t>未核销</t>
        </is>
      </c>
      <c r="J21" s="165" t="inlineStr"/>
    </row>
    <row r="22">
      <c r="A22" s="161" t="inlineStr">
        <is>
          <t>2025-04-11</t>
        </is>
      </c>
      <c r="B22" s="161" t="inlineStr">
        <is>
          <t>FK20250411384</t>
        </is>
      </c>
      <c r="C22" s="162" t="inlineStr">
        <is>
          <t>ZZ挂具厂</t>
        </is>
      </c>
      <c r="D22" s="163" t="n">
        <v>11537.83</v>
      </c>
      <c r="E22" s="161" t="inlineStr">
        <is>
          <t>微信付款</t>
        </is>
      </c>
      <c r="F22" s="161" t="inlineStr">
        <is>
          <t>材料费</t>
        </is>
      </c>
      <c r="G22" s="162" t="inlineStr">
        <is>
          <t>付ZZ挂具厂挂具</t>
        </is>
      </c>
      <c r="H22" s="161" t="inlineStr"/>
      <c r="I22" s="161" t="inlineStr">
        <is>
          <t>已核销</t>
        </is>
      </c>
      <c r="J22" s="162" t="inlineStr"/>
    </row>
    <row r="23">
      <c r="A23" s="164" t="inlineStr">
        <is>
          <t>2025-04-25</t>
        </is>
      </c>
      <c r="B23" s="164" t="inlineStr">
        <is>
          <t>FK20250425581</t>
        </is>
      </c>
      <c r="C23" s="165" t="inlineStr">
        <is>
          <t>AA喷砂厂</t>
        </is>
      </c>
      <c r="D23" s="166" t="n">
        <v>4157.94</v>
      </c>
      <c r="E23" s="164" t="inlineStr">
        <is>
          <t>G银行转账</t>
        </is>
      </c>
      <c r="F23" s="164" t="inlineStr">
        <is>
          <t>外发加工费</t>
        </is>
      </c>
      <c r="G23" s="165" t="inlineStr">
        <is>
          <t>付AA喷砂厂喷砂委外加工</t>
        </is>
      </c>
      <c r="H23" s="164" t="inlineStr">
        <is>
          <t>FP20250245</t>
        </is>
      </c>
      <c r="I23" s="164" t="inlineStr">
        <is>
          <t>已核销</t>
        </is>
      </c>
      <c r="J23" s="165" t="inlineStr"/>
    </row>
    <row r="24">
      <c r="A24" s="161" t="inlineStr">
        <is>
          <t>2025-04-01</t>
        </is>
      </c>
      <c r="B24" s="161" t="inlineStr">
        <is>
          <t>FK20250401329</t>
        </is>
      </c>
      <c r="C24" s="162" t="inlineStr">
        <is>
          <t>BB抛光厂</t>
        </is>
      </c>
      <c r="D24" s="163" t="n">
        <v>1255.24</v>
      </c>
      <c r="E24" s="161" t="inlineStr">
        <is>
          <t>N银行转账</t>
        </is>
      </c>
      <c r="F24" s="161" t="inlineStr">
        <is>
          <t>外发加工费</t>
        </is>
      </c>
      <c r="G24" s="162" t="inlineStr">
        <is>
          <t>付BB抛光厂抛光委外加工</t>
        </is>
      </c>
      <c r="H24" s="161" t="inlineStr"/>
      <c r="I24" s="161" t="inlineStr">
        <is>
          <t>未核销</t>
        </is>
      </c>
      <c r="J24" s="162" t="inlineStr"/>
    </row>
    <row r="25">
      <c r="A25" s="164" t="inlineStr">
        <is>
          <t>2025-04-21</t>
        </is>
      </c>
      <c r="B25" s="164" t="inlineStr">
        <is>
          <t>FK20250421872</t>
        </is>
      </c>
      <c r="C25" s="165" t="inlineStr">
        <is>
          <t>XX化工</t>
        </is>
      </c>
      <c r="D25" s="166" t="n">
        <v>11827.88</v>
      </c>
      <c r="E25" s="164" t="inlineStr">
        <is>
          <t>G银行转账</t>
        </is>
      </c>
      <c r="F25" s="164" t="inlineStr">
        <is>
          <t>材料费</t>
        </is>
      </c>
      <c r="G25" s="165" t="inlineStr">
        <is>
          <t>付XX化工三酸/片碱/亚钠</t>
        </is>
      </c>
      <c r="H25" s="164" t="inlineStr">
        <is>
          <t>FP20250185</t>
        </is>
      </c>
      <c r="I25" s="164" t="inlineStr">
        <is>
          <t>未核销</t>
        </is>
      </c>
      <c r="J25" s="165" t="inlineStr"/>
    </row>
    <row r="26">
      <c r="A26" s="161" t="inlineStr">
        <is>
          <t>2025-04-01</t>
        </is>
      </c>
      <c r="B26" s="161" t="inlineStr">
        <is>
          <t>FK20250401736</t>
        </is>
      </c>
      <c r="C26" s="162" t="inlineStr">
        <is>
          <t>YY化工</t>
        </is>
      </c>
      <c r="D26" s="163" t="n">
        <v>3390.73</v>
      </c>
      <c r="E26" s="161" t="inlineStr">
        <is>
          <t>G银行转账</t>
        </is>
      </c>
      <c r="F26" s="161" t="inlineStr">
        <is>
          <t>材料费</t>
        </is>
      </c>
      <c r="G26" s="162" t="inlineStr">
        <is>
          <t>付YY化工色粉/除油剂</t>
        </is>
      </c>
      <c r="H26" s="161" t="inlineStr">
        <is>
          <t>FP20250272</t>
        </is>
      </c>
      <c r="I26" s="161" t="inlineStr">
        <is>
          <t>未核销</t>
        </is>
      </c>
      <c r="J26" s="162" t="inlineStr"/>
    </row>
    <row r="27">
      <c r="A27" s="164" t="inlineStr">
        <is>
          <t>2025-04-05</t>
        </is>
      </c>
      <c r="B27" s="164" t="inlineStr">
        <is>
          <t>FK20250405677</t>
        </is>
      </c>
      <c r="C27" s="165" t="inlineStr">
        <is>
          <t>YY化工</t>
        </is>
      </c>
      <c r="D27" s="166" t="n">
        <v>2330.2</v>
      </c>
      <c r="E27" s="164" t="inlineStr">
        <is>
          <t>G银行转账</t>
        </is>
      </c>
      <c r="F27" s="164" t="inlineStr">
        <is>
          <t>材料费</t>
        </is>
      </c>
      <c r="G27" s="165" t="inlineStr">
        <is>
          <t>付YY化工色粉/除油剂</t>
        </is>
      </c>
      <c r="H27" s="164" t="inlineStr"/>
      <c r="I27" s="164" t="inlineStr">
        <is>
          <t>已核销</t>
        </is>
      </c>
      <c r="J27" s="165" t="inlineStr"/>
    </row>
    <row r="28">
      <c r="A28" s="161" t="inlineStr">
        <is>
          <t>2025-04-07</t>
        </is>
      </c>
      <c r="B28" s="161" t="inlineStr">
        <is>
          <t>FK20250407271</t>
        </is>
      </c>
      <c r="C28" s="162" t="inlineStr">
        <is>
          <t>AA喷砂厂</t>
        </is>
      </c>
      <c r="D28" s="163" t="n">
        <v>10642.24</v>
      </c>
      <c r="E28" s="161" t="inlineStr">
        <is>
          <t>N银行转账</t>
        </is>
      </c>
      <c r="F28" s="161" t="inlineStr">
        <is>
          <t>外发加工费</t>
        </is>
      </c>
      <c r="G28" s="162" t="inlineStr">
        <is>
          <t>付AA喷砂厂喷砂委外加工</t>
        </is>
      </c>
      <c r="H28" s="161" t="inlineStr">
        <is>
          <t>FP20250416</t>
        </is>
      </c>
      <c r="I28" s="161" t="inlineStr">
        <is>
          <t>未核销</t>
        </is>
      </c>
      <c r="J28" s="162" t="inlineStr"/>
    </row>
    <row r="29">
      <c r="A29" s="164" t="inlineStr">
        <is>
          <t>2025-05-28</t>
        </is>
      </c>
      <c r="B29" s="164" t="inlineStr">
        <is>
          <t>FK20250528395</t>
        </is>
      </c>
      <c r="C29" s="165" t="inlineStr">
        <is>
          <t>YY化工</t>
        </is>
      </c>
      <c r="D29" s="166" t="n">
        <v>5282.15</v>
      </c>
      <c r="E29" s="164" t="inlineStr">
        <is>
          <t>微信付款</t>
        </is>
      </c>
      <c r="F29" s="164" t="inlineStr">
        <is>
          <t>材料费</t>
        </is>
      </c>
      <c r="G29" s="165" t="inlineStr">
        <is>
          <t>付YY化工色粉/除油剂</t>
        </is>
      </c>
      <c r="H29" s="164" t="inlineStr"/>
      <c r="I29" s="164" t="inlineStr">
        <is>
          <t>未核销</t>
        </is>
      </c>
      <c r="J29" s="165" t="inlineStr"/>
    </row>
    <row r="30">
      <c r="A30" s="161" t="inlineStr">
        <is>
          <t>2025-05-22</t>
        </is>
      </c>
      <c r="B30" s="161" t="inlineStr">
        <is>
          <t>FK20250522137</t>
        </is>
      </c>
      <c r="C30" s="162" t="inlineStr">
        <is>
          <t>AA喷砂厂</t>
        </is>
      </c>
      <c r="D30" s="163" t="n">
        <v>12296.71</v>
      </c>
      <c r="E30" s="161" t="inlineStr">
        <is>
          <t>现金</t>
        </is>
      </c>
      <c r="F30" s="161" t="inlineStr">
        <is>
          <t>外发加工费</t>
        </is>
      </c>
      <c r="G30" s="162" t="inlineStr">
        <is>
          <t>付AA喷砂厂喷砂委外加工</t>
        </is>
      </c>
      <c r="H30" s="161" t="inlineStr"/>
      <c r="I30" s="161" t="inlineStr">
        <is>
          <t>已核销</t>
        </is>
      </c>
      <c r="J30" s="162" t="inlineStr"/>
    </row>
    <row r="31">
      <c r="A31" s="164" t="inlineStr">
        <is>
          <t>2025-05-15</t>
        </is>
      </c>
      <c r="B31" s="164" t="inlineStr">
        <is>
          <t>FK20250515218</t>
        </is>
      </c>
      <c r="C31" s="165" t="inlineStr">
        <is>
          <t>XX化工</t>
        </is>
      </c>
      <c r="D31" s="166" t="n">
        <v>5060.5</v>
      </c>
      <c r="E31" s="164" t="inlineStr">
        <is>
          <t>N银行转账</t>
        </is>
      </c>
      <c r="F31" s="164" t="inlineStr">
        <is>
          <t>材料费</t>
        </is>
      </c>
      <c r="G31" s="165" t="inlineStr">
        <is>
          <t>付XX化工三酸/片碱/亚钠</t>
        </is>
      </c>
      <c r="H31" s="164" t="inlineStr"/>
      <c r="I31" s="164" t="inlineStr">
        <is>
          <t>已核销</t>
        </is>
      </c>
      <c r="J31" s="165" t="inlineStr"/>
    </row>
    <row r="32">
      <c r="A32" s="161" t="inlineStr">
        <is>
          <t>2025-05-25</t>
        </is>
      </c>
      <c r="B32" s="161" t="inlineStr">
        <is>
          <t>FK20250525773</t>
        </is>
      </c>
      <c r="C32" s="162" t="inlineStr">
        <is>
          <t>AA喷砂厂</t>
        </is>
      </c>
      <c r="D32" s="163" t="n">
        <v>13041.2</v>
      </c>
      <c r="E32" s="161" t="inlineStr">
        <is>
          <t>G银行转账</t>
        </is>
      </c>
      <c r="F32" s="161" t="inlineStr">
        <is>
          <t>外发加工费</t>
        </is>
      </c>
      <c r="G32" s="162" t="inlineStr">
        <is>
          <t>付AA喷砂厂喷砂委外加工</t>
        </is>
      </c>
      <c r="H32" s="161" t="inlineStr">
        <is>
          <t>FP20250355</t>
        </is>
      </c>
      <c r="I32" s="161" t="inlineStr">
        <is>
          <t>已核销</t>
        </is>
      </c>
      <c r="J32" s="162" t="inlineStr"/>
    </row>
    <row r="33">
      <c r="A33" s="164" t="inlineStr">
        <is>
          <t>2025-05-28</t>
        </is>
      </c>
      <c r="B33" s="164" t="inlineStr">
        <is>
          <t>FK20250528292</t>
        </is>
      </c>
      <c r="C33" s="165" t="inlineStr">
        <is>
          <t>BB抛光厂</t>
        </is>
      </c>
      <c r="D33" s="166" t="n">
        <v>7198.66</v>
      </c>
      <c r="E33" s="164" t="inlineStr">
        <is>
          <t>G银行转账</t>
        </is>
      </c>
      <c r="F33" s="164" t="inlineStr">
        <is>
          <t>外发加工费</t>
        </is>
      </c>
      <c r="G33" s="165" t="inlineStr">
        <is>
          <t>付BB抛光厂抛光委外加工</t>
        </is>
      </c>
      <c r="H33" s="164" t="inlineStr">
        <is>
          <t>FP20250792</t>
        </is>
      </c>
      <c r="I33" s="164" t="inlineStr">
        <is>
          <t>已核销</t>
        </is>
      </c>
      <c r="J33" s="165" t="inlineStr"/>
    </row>
    <row r="34">
      <c r="A34" s="161" t="inlineStr">
        <is>
          <t>2025-05-17</t>
        </is>
      </c>
      <c r="B34" s="161" t="inlineStr">
        <is>
          <t>FK20250517740</t>
        </is>
      </c>
      <c r="C34" s="162" t="inlineStr">
        <is>
          <t>ZZ挂具厂</t>
        </is>
      </c>
      <c r="D34" s="163" t="n">
        <v>9528.190000000001</v>
      </c>
      <c r="E34" s="161" t="inlineStr">
        <is>
          <t>微信付款</t>
        </is>
      </c>
      <c r="F34" s="161" t="inlineStr">
        <is>
          <t>材料费</t>
        </is>
      </c>
      <c r="G34" s="162" t="inlineStr">
        <is>
          <t>付ZZ挂具厂挂具</t>
        </is>
      </c>
      <c r="H34" s="161" t="inlineStr">
        <is>
          <t>FP20251121</t>
        </is>
      </c>
      <c r="I34" s="161" t="inlineStr">
        <is>
          <t>未核销</t>
        </is>
      </c>
      <c r="J34" s="162" t="inlineStr"/>
    </row>
    <row r="35">
      <c r="A35" s="164" t="inlineStr">
        <is>
          <t>2025-05-15</t>
        </is>
      </c>
      <c r="B35" s="164" t="inlineStr">
        <is>
          <t>FK20250515234</t>
        </is>
      </c>
      <c r="C35" s="165" t="inlineStr">
        <is>
          <t>XX化工</t>
        </is>
      </c>
      <c r="D35" s="166" t="n">
        <v>3451.59</v>
      </c>
      <c r="E35" s="164" t="inlineStr">
        <is>
          <t>现金</t>
        </is>
      </c>
      <c r="F35" s="164" t="inlineStr">
        <is>
          <t>材料费</t>
        </is>
      </c>
      <c r="G35" s="165" t="inlineStr">
        <is>
          <t>付XX化工三酸/片碱/亚钠</t>
        </is>
      </c>
      <c r="H35" s="164" t="inlineStr">
        <is>
          <t>FP20251035</t>
        </is>
      </c>
      <c r="I35" s="164" t="inlineStr">
        <is>
          <t>未核销</t>
        </is>
      </c>
      <c r="J35" s="165" t="inlineStr"/>
    </row>
    <row r="36">
      <c r="A36" s="161" t="inlineStr">
        <is>
          <t>2025-05-10</t>
        </is>
      </c>
      <c r="B36" s="161" t="inlineStr">
        <is>
          <t>FK20250510224</t>
        </is>
      </c>
      <c r="C36" s="162" t="inlineStr">
        <is>
          <t>AA喷砂厂</t>
        </is>
      </c>
      <c r="D36" s="163" t="n">
        <v>13272.28</v>
      </c>
      <c r="E36" s="161" t="inlineStr">
        <is>
          <t>微信付款</t>
        </is>
      </c>
      <c r="F36" s="161" t="inlineStr">
        <is>
          <t>外发加工费</t>
        </is>
      </c>
      <c r="G36" s="162" t="inlineStr">
        <is>
          <t>付AA喷砂厂喷砂委外加工</t>
        </is>
      </c>
      <c r="H36" s="161" t="inlineStr">
        <is>
          <t>FP20250890</t>
        </is>
      </c>
      <c r="I36" s="161" t="inlineStr">
        <is>
          <t>已核销</t>
        </is>
      </c>
      <c r="J36" s="162" t="inlineStr"/>
    </row>
    <row r="37">
      <c r="A37" s="164" t="inlineStr">
        <is>
          <t>2025-05-01</t>
        </is>
      </c>
      <c r="B37" s="164" t="inlineStr">
        <is>
          <t>FK20250501418</t>
        </is>
      </c>
      <c r="C37" s="165" t="inlineStr">
        <is>
          <t>BB抛光厂</t>
        </is>
      </c>
      <c r="D37" s="166" t="n">
        <v>12090.05</v>
      </c>
      <c r="E37" s="164" t="inlineStr">
        <is>
          <t>G银行转账</t>
        </is>
      </c>
      <c r="F37" s="164" t="inlineStr">
        <is>
          <t>外发加工费</t>
        </is>
      </c>
      <c r="G37" s="165" t="inlineStr">
        <is>
          <t>付BB抛光厂抛光委外加工</t>
        </is>
      </c>
      <c r="H37" s="164" t="inlineStr">
        <is>
          <t>FP20250291</t>
        </is>
      </c>
      <c r="I37" s="164" t="inlineStr">
        <is>
          <t>已核销</t>
        </is>
      </c>
      <c r="J37" s="165" t="inlineStr"/>
    </row>
    <row r="38">
      <c r="A38" s="161" t="inlineStr">
        <is>
          <t>2025-05-18</t>
        </is>
      </c>
      <c r="B38" s="161" t="inlineStr">
        <is>
          <t>FK20250518330</t>
        </is>
      </c>
      <c r="C38" s="162" t="inlineStr">
        <is>
          <t>XX化工</t>
        </is>
      </c>
      <c r="D38" s="163" t="n">
        <v>8507.65</v>
      </c>
      <c r="E38" s="161" t="inlineStr">
        <is>
          <t>G银行转账</t>
        </is>
      </c>
      <c r="F38" s="161" t="inlineStr">
        <is>
          <t>材料费</t>
        </is>
      </c>
      <c r="G38" s="162" t="inlineStr">
        <is>
          <t>付XX化工三酸/片碱/亚钠</t>
        </is>
      </c>
      <c r="H38" s="161" t="inlineStr">
        <is>
          <t>FP20250929</t>
        </is>
      </c>
      <c r="I38" s="161" t="inlineStr">
        <is>
          <t>已核销</t>
        </is>
      </c>
      <c r="J38" s="162" t="inlineStr"/>
    </row>
    <row r="39">
      <c r="A39" s="164" t="inlineStr">
        <is>
          <t>2025-05-27</t>
        </is>
      </c>
      <c r="B39" s="164" t="inlineStr">
        <is>
          <t>FK20250527763</t>
        </is>
      </c>
      <c r="C39" s="165" t="inlineStr">
        <is>
          <t>XX化工</t>
        </is>
      </c>
      <c r="D39" s="166" t="n">
        <v>7190.99</v>
      </c>
      <c r="E39" s="164" t="inlineStr">
        <is>
          <t>G银行转账</t>
        </is>
      </c>
      <c r="F39" s="164" t="inlineStr">
        <is>
          <t>材料费</t>
        </is>
      </c>
      <c r="G39" s="165" t="inlineStr">
        <is>
          <t>付XX化工三酸/片碱/亚钠</t>
        </is>
      </c>
      <c r="H39" s="164" t="inlineStr">
        <is>
          <t>FP20250927</t>
        </is>
      </c>
      <c r="I39" s="164" t="inlineStr">
        <is>
          <t>未核销</t>
        </is>
      </c>
      <c r="J39" s="165" t="inlineStr"/>
    </row>
    <row r="40">
      <c r="A40" s="161" t="inlineStr">
        <is>
          <t>(新增数据请在此行下方添加)</t>
        </is>
      </c>
      <c r="B40" s="161">
        <f>IF(A3="","",TEXT(A3,"FKyyyymmdd")&amp;TEXT(ROW(),"000"))</f>
        <v/>
      </c>
      <c r="C40" s="162" t="n"/>
      <c r="D40" s="163" t="n"/>
      <c r="E40" s="161" t="n"/>
      <c r="F40" s="161" t="inlineStr">
        <is>
          <t>其他</t>
        </is>
      </c>
      <c r="G40" s="162" t="n"/>
      <c r="H40" s="161" t="inlineStr">
        <is>
          <t>FP20250938</t>
        </is>
      </c>
      <c r="I40" s="161" t="inlineStr">
        <is>
          <t>未核销</t>
        </is>
      </c>
      <c r="J40" s="162" t="inlineStr"/>
    </row>
    <row r="41">
      <c r="A41" s="167" t="inlineStr">
        <is>
          <t>合计</t>
        </is>
      </c>
      <c r="B41" s="168" t="n"/>
      <c r="C41" s="168" t="n"/>
      <c r="D41" s="169">
        <f>SUM(D2:D40)</f>
        <v/>
      </c>
      <c r="E41" s="168" t="n"/>
      <c r="F41" s="168" t="n"/>
      <c r="G41" s="168" t="n"/>
      <c r="H41" s="168" t="n"/>
      <c r="I41" s="168" t="n"/>
      <c r="J41" s="168" t="n"/>
    </row>
    <row r="43">
      <c r="A43" s="170" t="inlineStr">
        <is>
          <t>(新增数据请在此行下方添加)</t>
        </is>
      </c>
      <c r="B43" s="170">
        <f>IF(A3="","",TEXT(A3,"FKyyyymmdd")&amp;TEXT(ROW(),"000"))</f>
        <v/>
      </c>
    </row>
  </sheetData>
  <dataValidations count="3">
    <dataValidation sqref="E2:E90" showDropDown="0" showInputMessage="0" showErrorMessage="0" allowBlank="1" errorTitle="输入错误" error="请从下拉列表中选择付款方式" promptTitle="付款方式" prompt="请选择付款方式" type="list">
      <formula1>"G银行转账,N银行转账,微信付款,现金"</formula1>
    </dataValidation>
    <dataValidation sqref="F2:F90" showDropDown="0" showInputMessage="0" showErrorMessage="0" allowBlank="1" errorTitle="输入错误" error="请从下拉列表中选择费用分类" promptTitle="费用分类" prompt="请选择费用分类" type="list">
      <formula1>"材料费,人工费,房租,水电费,外发加工费,日常费用,税费,其他"</formula1>
    </dataValidation>
    <dataValidation sqref="I2:I90" showDropDown="0" showInputMessage="0" showErrorMessage="0" allowBlank="1" errorTitle="输入错误" error="请从下拉列表中选择结算状态" promptTitle="结算状态" prompt="请选择结算状态" type="list">
      <formula1>"已核销,未核销"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6" min="1" max="1"/>
    <col width="16" customWidth="1" style="96" min="2" max="2"/>
    <col width="16" customWidth="1" style="96" min="3" max="3"/>
    <col width="14" customWidth="1" style="96" min="4" max="4"/>
    <col width="16" customWidth="1" style="96" min="5" max="5"/>
    <col width="14" customWidth="1" style="96" min="6" max="6"/>
    <col width="16" customWidth="1" style="96" min="7" max="7"/>
  </cols>
  <sheetData>
    <row r="1">
      <c r="A1" s="171" t="inlineStr">
        <is>
          <t>【本月资金收支汇总】</t>
        </is>
      </c>
    </row>
    <row r="2">
      <c r="A2" s="160" t="inlineStr">
        <is>
          <t>项目</t>
        </is>
      </c>
      <c r="B2" s="160" t="inlineStr">
        <is>
          <t>G银行</t>
        </is>
      </c>
      <c r="C2" s="160" t="inlineStr">
        <is>
          <t>N银行/微信</t>
        </is>
      </c>
      <c r="D2" s="160" t="inlineStr">
        <is>
          <t>现金</t>
        </is>
      </c>
      <c r="E2" s="160" t="inlineStr">
        <is>
          <t>合计</t>
        </is>
      </c>
    </row>
    <row r="3">
      <c r="A3" s="162" t="inlineStr">
        <is>
          <t>期初余额</t>
        </is>
      </c>
      <c r="B3" s="163" t="n">
        <v>0</v>
      </c>
      <c r="C3" s="163" t="n">
        <v>0</v>
      </c>
      <c r="D3" s="163" t="n">
        <v>0</v>
      </c>
      <c r="E3" s="172">
        <f>SUM(B3:D3)</f>
        <v/>
      </c>
    </row>
    <row r="4">
      <c r="A4" s="162" t="inlineStr">
        <is>
          <t>本月收入</t>
        </is>
      </c>
      <c r="B4" s="163">
        <f>SUMIFS(收款记录!D:D,收款记录!E:E,"G银行转账",收款记录!A:A,"&gt;="&amp;DATE(YEAR(TODAY()),MONTH(TODAY()),1),收款记录!A:A,"&lt;"&amp;DATE(YEAR(TODAY()),MONTH(TODAY())+1,1))</f>
        <v/>
      </c>
      <c r="C4" s="163">
        <f>SUMIFS(收款记录!D:D,收款记录!E:E,"N银行转账",收款记录!A:A,"&gt;="&amp;DATE(YEAR(TODAY()),MONTH(TODAY()),1),收款记录!A:A,"&lt;"&amp;DATE(YEAR(TODAY()),MONTH(TODAY())+1,1))+SUMIFS(收款记录!D:D,收款记录!E:E,"微信收款",收款记录!A:A,"&gt;="&amp;DATE(YEAR(TODAY()),MONTH(TODAY()),1),收款记录!A:A,"&lt;"&amp;DATE(YEAR(TODAY()),MONTH(TODAY())+1,1))</f>
        <v/>
      </c>
      <c r="D4" s="163">
        <f>SUMIFS(收款记录!D:D,收款记录!E:E,"现金",收款记录!A:A,"&gt;="&amp;DATE(YEAR(TODAY()),MONTH(TODAY()),1),收款记录!A:A,"&lt;"&amp;DATE(YEAR(TODAY()),MONTH(TODAY())+1,1))</f>
        <v/>
      </c>
      <c r="E4" s="172">
        <f>SUM(B4:D4)</f>
        <v/>
      </c>
    </row>
    <row r="5">
      <c r="A5" s="162" t="inlineStr">
        <is>
          <t>本月支出</t>
        </is>
      </c>
      <c r="B5" s="163">
        <f>SUMIFS(付款记录!D:D,付款记录!E:E,"G银行转账",付款记录!A:A,"&gt;="&amp;DATE(YEAR(TODAY()),MONTH(TODAY()),1),付款记录!A:A,"&lt;"&amp;DATE(YEAR(TODAY()),MONTH(TODAY())+1,1))</f>
        <v/>
      </c>
      <c r="C5" s="163">
        <f>SUMIFS(付款记录!D:D,付款记录!E:E,"N银行转账",付款记录!A:A,"&gt;="&amp;DATE(YEAR(TODAY()),MONTH(TODAY()),1),付款记录!A:A,"&lt;"&amp;DATE(YEAR(TODAY()),MONTH(TODAY())+1,1))+SUMIFS(付款记录!D:D,付款记录!E:E,"微信付款",付款记录!A:A,"&gt;="&amp;DATE(YEAR(TODAY()),MONTH(TODAY()),1),付款记录!A:A,"&lt;"&amp;DATE(YEAR(TODAY()),MONTH(TODAY())+1,1))</f>
        <v/>
      </c>
      <c r="D5" s="163">
        <f>SUMIFS(付款记录!D:D,付款记录!E:E,"现金",付款记录!A:A,"&gt;="&amp;DATE(YEAR(TODAY()),MONTH(TODAY()),1),付款记录!A:A,"&lt;"&amp;DATE(YEAR(TODAY()),MONTH(TODAY())+1,1))</f>
        <v/>
      </c>
      <c r="E5" s="172">
        <f>SUM(B5:D5)</f>
        <v/>
      </c>
    </row>
    <row r="6">
      <c r="A6" s="173" t="inlineStr">
        <is>
          <t>期末余额</t>
        </is>
      </c>
      <c r="B6" s="169">
        <f>B3+B4-B5</f>
        <v/>
      </c>
      <c r="C6" s="169">
        <f>C3+C4-C5</f>
        <v/>
      </c>
      <c r="D6" s="169">
        <f>D3+D4-D5</f>
        <v/>
      </c>
      <c r="E6" s="169">
        <f>E3+E4-E5</f>
        <v/>
      </c>
    </row>
    <row r="8">
      <c r="A8" s="171" t="inlineStr">
        <is>
          <t>【按费用分类汇总】</t>
        </is>
      </c>
    </row>
    <row r="9">
      <c r="A9" s="160" t="inlineStr">
        <is>
          <t>费用分类</t>
        </is>
      </c>
      <c r="B9" s="160" t="inlineStr">
        <is>
          <t>本月金额</t>
        </is>
      </c>
      <c r="C9" s="160" t="inlineStr">
        <is>
          <t>占比</t>
        </is>
      </c>
      <c r="D9" s="160" t="inlineStr">
        <is>
          <t>累计金额</t>
        </is>
      </c>
    </row>
    <row r="10">
      <c r="A10" s="162" t="inlineStr">
        <is>
          <t>材料费</t>
        </is>
      </c>
      <c r="B10" s="163">
        <f>SUMIFS(付款记录!D:D,付款记录!F:F,A10,付款记录!A:A,"&gt;="&amp;DATE(YEAR(TODAY()),MONTH(TODAY()),1),付款记录!A:A,"&lt;"&amp;DATE(YEAR(TODAY()),MONTH(TODAY())+1,1))</f>
        <v/>
      </c>
      <c r="C10" s="174">
        <f>IF($B$18=0,0,B10/$B$18)</f>
        <v/>
      </c>
      <c r="D10" s="163">
        <f>SUMIFS(付款记录!D:D,付款记录!F:F,A10)</f>
        <v/>
      </c>
    </row>
    <row r="11">
      <c r="A11" s="165" t="inlineStr">
        <is>
          <t>人工费</t>
        </is>
      </c>
      <c r="B11" s="166">
        <f>SUMIFS(付款记录!D:D,付款记录!F:F,A11,付款记录!A:A,"&gt;="&amp;DATE(YEAR(TODAY()),MONTH(TODAY()),1),付款记录!A:A,"&lt;"&amp;DATE(YEAR(TODAY()),MONTH(TODAY())+1,1))</f>
        <v/>
      </c>
      <c r="C11" s="175">
        <f>IF($B$18=0,0,B11/$B$18)</f>
        <v/>
      </c>
      <c r="D11" s="166">
        <f>SUMIFS(付款记录!D:D,付款记录!F:F,A11)</f>
        <v/>
      </c>
    </row>
    <row r="12">
      <c r="A12" s="162" t="inlineStr">
        <is>
          <t>房租</t>
        </is>
      </c>
      <c r="B12" s="163">
        <f>SUMIFS(付款记录!D:D,付款记录!F:F,A12,付款记录!A:A,"&gt;="&amp;DATE(YEAR(TODAY()),MONTH(TODAY()),1),付款记录!A:A,"&lt;"&amp;DATE(YEAR(TODAY()),MONTH(TODAY())+1,1))</f>
        <v/>
      </c>
      <c r="C12" s="174">
        <f>IF($B$18=0,0,B12/$B$18)</f>
        <v/>
      </c>
      <c r="D12" s="163">
        <f>SUMIFS(付款记录!D:D,付款记录!F:F,A12)</f>
        <v/>
      </c>
    </row>
    <row r="13">
      <c r="A13" s="165" t="inlineStr">
        <is>
          <t>水电费</t>
        </is>
      </c>
      <c r="B13" s="166">
        <f>SUMIFS(付款记录!D:D,付款记录!F:F,A13,付款记录!A:A,"&gt;="&amp;DATE(YEAR(TODAY()),MONTH(TODAY()),1),付款记录!A:A,"&lt;"&amp;DATE(YEAR(TODAY()),MONTH(TODAY())+1,1))</f>
        <v/>
      </c>
      <c r="C13" s="175">
        <f>IF($B$18=0,0,B13/$B$18)</f>
        <v/>
      </c>
      <c r="D13" s="166">
        <f>SUMIFS(付款记录!D:D,付款记录!F:F,A13)</f>
        <v/>
      </c>
    </row>
    <row r="14">
      <c r="A14" s="162" t="inlineStr">
        <is>
          <t>外发加工费</t>
        </is>
      </c>
      <c r="B14" s="163">
        <f>SUMIFS(付款记录!D:D,付款记录!F:F,A14,付款记录!A:A,"&gt;="&amp;DATE(YEAR(TODAY()),MONTH(TODAY()),1),付款记录!A:A,"&lt;"&amp;DATE(YEAR(TODAY()),MONTH(TODAY())+1,1))</f>
        <v/>
      </c>
      <c r="C14" s="174">
        <f>IF($B$18=0,0,B14/$B$18)</f>
        <v/>
      </c>
      <c r="D14" s="163">
        <f>SUMIFS(付款记录!D:D,付款记录!F:F,A14)</f>
        <v/>
      </c>
    </row>
    <row r="15">
      <c r="A15" s="165" t="inlineStr">
        <is>
          <t>日常费用</t>
        </is>
      </c>
      <c r="B15" s="166">
        <f>SUMIFS(付款记录!D:D,付款记录!F:F,A15,付款记录!A:A,"&gt;="&amp;DATE(YEAR(TODAY()),MONTH(TODAY()),1),付款记录!A:A,"&lt;"&amp;DATE(YEAR(TODAY()),MONTH(TODAY())+1,1))</f>
        <v/>
      </c>
      <c r="C15" s="175">
        <f>IF($B$18=0,0,B15/$B$18)</f>
        <v/>
      </c>
      <c r="D15" s="166">
        <f>SUMIFS(付款记录!D:D,付款记录!F:F,A15)</f>
        <v/>
      </c>
    </row>
    <row r="16">
      <c r="A16" s="162" t="inlineStr">
        <is>
          <t>税费</t>
        </is>
      </c>
      <c r="B16" s="163">
        <f>SUMIFS(付款记录!D:D,付款记录!F:F,A16,付款记录!A:A,"&gt;="&amp;DATE(YEAR(TODAY()),MONTH(TODAY()),1),付款记录!A:A,"&lt;"&amp;DATE(YEAR(TODAY()),MONTH(TODAY())+1,1))</f>
        <v/>
      </c>
      <c r="C16" s="174">
        <f>IF($B$18=0,0,B16/$B$18)</f>
        <v/>
      </c>
      <c r="D16" s="163">
        <f>SUMIFS(付款记录!D:D,付款记录!F:F,A16)</f>
        <v/>
      </c>
    </row>
    <row r="17">
      <c r="A17" s="165" t="inlineStr">
        <is>
          <t>其他</t>
        </is>
      </c>
      <c r="B17" s="166">
        <f>SUMIFS(付款记录!D:D,付款记录!F:F,A17,付款记录!A:A,"&gt;="&amp;DATE(YEAR(TODAY()),MONTH(TODAY()),1),付款记录!A:A,"&lt;"&amp;DATE(YEAR(TODAY()),MONTH(TODAY())+1,1))</f>
        <v/>
      </c>
      <c r="C17" s="175">
        <f>IF($B$18=0,0,B17/$B$18)</f>
        <v/>
      </c>
      <c r="D17" s="166">
        <f>SUMIFS(付款记录!D:D,付款记录!F:F,A17)</f>
        <v/>
      </c>
    </row>
    <row r="18">
      <c r="A18" s="173" t="inlineStr">
        <is>
          <t>合计</t>
        </is>
      </c>
      <c r="B18" s="169">
        <f>SUM(B10:B17)</f>
        <v/>
      </c>
      <c r="C18" s="176" t="n">
        <v>1</v>
      </c>
      <c r="D18" s="169">
        <f>SUM(D10:D17)</f>
        <v/>
      </c>
    </row>
    <row r="20">
      <c r="A20" s="171" t="inlineStr">
        <is>
          <t>【按月份收付款趋势】</t>
        </is>
      </c>
    </row>
    <row r="21">
      <c r="A21" s="160" t="inlineStr">
        <is>
          <t>月份</t>
        </is>
      </c>
      <c r="B21" s="160" t="inlineStr">
        <is>
          <t>收款合计</t>
        </is>
      </c>
      <c r="C21" s="160" t="inlineStr">
        <is>
          <t>付款合计</t>
        </is>
      </c>
      <c r="D21" s="160" t="inlineStr">
        <is>
          <t>净流入</t>
        </is>
      </c>
    </row>
    <row r="22">
      <c r="A22" s="161" t="inlineStr">
        <is>
          <t>2025-03</t>
        </is>
      </c>
      <c r="B22" s="163">
        <f>SUMPRODUCT((TEXT(收款记录!A:A,"yyyy-mm")=A22)*收款记录!D:D)</f>
        <v/>
      </c>
      <c r="C22" s="163">
        <f>SUMPRODUCT((TEXT(付款记录!A:A,"yyyy-mm")=A22)*付款记录!D:D)</f>
        <v/>
      </c>
      <c r="D22" s="172">
        <f>B22-C22</f>
        <v/>
      </c>
    </row>
    <row r="23">
      <c r="A23" s="164" t="inlineStr">
        <is>
          <t>2025-04</t>
        </is>
      </c>
      <c r="B23" s="166">
        <f>SUMPRODUCT((TEXT(收款记录!A:A,"yyyy-mm")=A23)*收款记录!D:D)</f>
        <v/>
      </c>
      <c r="C23" s="166">
        <f>SUMPRODUCT((TEXT(付款记录!A:A,"yyyy-mm")=A23)*付款记录!D:D)</f>
        <v/>
      </c>
      <c r="D23" s="177">
        <f>B23-C23</f>
        <v/>
      </c>
    </row>
    <row r="24">
      <c r="A24" s="161" t="inlineStr">
        <is>
          <t>2025-05</t>
        </is>
      </c>
      <c r="B24" s="163">
        <f>SUMPRODUCT((TEXT(收款记录!A:A,"yyyy-mm")=A24)*收款记录!D:D)</f>
        <v/>
      </c>
      <c r="C24" s="163">
        <f>SUMPRODUCT((TEXT(付款记录!A:A,"yyyy-mm")=A24)*付款记录!D:D)</f>
        <v/>
      </c>
      <c r="D24" s="172">
        <f>B24-C24</f>
        <v/>
      </c>
    </row>
    <row r="25">
      <c r="A25" s="173" t="inlineStr">
        <is>
          <t>合计</t>
        </is>
      </c>
      <c r="B25" s="169">
        <f>SUM(B22:B24)</f>
        <v/>
      </c>
      <c r="C25" s="169">
        <f>SUM(C22:C24)</f>
        <v/>
      </c>
      <c r="D25" s="169">
        <f>SUM(D22:D24)</f>
        <v/>
      </c>
    </row>
    <row r="27">
      <c r="A27" s="178" t="inlineStr">
        <is>
          <t>说明：所有数据通过公式自动从"收款记录"和"付款记录"工作表汇总计算，无需手动填写。</t>
        </is>
      </c>
    </row>
  </sheetData>
  <mergeCells count="4">
    <mergeCell ref="A20:D20"/>
    <mergeCell ref="A1:E1"/>
    <mergeCell ref="A8:D8"/>
    <mergeCell ref="A27:E2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0">
    <tabColor rgb="FF2F5496"/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8" customWidth="1" style="95" min="2" max="2"/>
    <col width="30" customWidth="1" style="95" min="3" max="3"/>
    <col width="14" customWidth="1" style="95" min="4" max="6"/>
  </cols>
  <sheetData>
    <row r="1" ht="15" customHeight="1" s="96">
      <c r="A1" s="179" t="inlineStr">
        <is>
          <t>G银行流水（对公账户 - 有票）</t>
        </is>
      </c>
    </row>
    <row r="2" ht="15" customHeight="1" s="96">
      <c r="A2" s="124" t="inlineStr">
        <is>
          <t>日期</t>
        </is>
      </c>
      <c r="B2" s="124" t="inlineStr">
        <is>
          <t>单据号</t>
        </is>
      </c>
      <c r="C2" s="124" t="inlineStr">
        <is>
          <t>摘要</t>
        </is>
      </c>
      <c r="D2" s="124" t="inlineStr">
        <is>
          <t>收入(元)</t>
        </is>
      </c>
      <c r="E2" s="124" t="inlineStr">
        <is>
          <t>支出(元)</t>
        </is>
      </c>
      <c r="F2" s="124" t="inlineStr">
        <is>
          <t>余额(元)</t>
        </is>
      </c>
    </row>
    <row r="3" ht="15" customHeight="1" s="96">
      <c r="A3" s="148" t="inlineStr">
        <is>
          <t>2025-03-01</t>
        </is>
      </c>
      <c r="B3" s="147" t="n"/>
      <c r="C3" s="147" t="inlineStr">
        <is>
          <t>期初余额</t>
        </is>
      </c>
      <c r="D3" s="151" t="n">
        <v>0</v>
      </c>
      <c r="E3" s="151" t="n">
        <v>0</v>
      </c>
      <c r="F3" s="151" t="n">
        <v>85000</v>
      </c>
    </row>
    <row r="4" ht="15" customHeight="1" s="96">
      <c r="A4" s="150" t="inlineStr">
        <is>
          <t>2025-03-19</t>
        </is>
      </c>
      <c r="B4" s="150" t="inlineStr">
        <is>
          <t>SK20250319172</t>
        </is>
      </c>
      <c r="C4" s="149" t="inlineStr">
        <is>
          <t>收华泰金属加工费</t>
        </is>
      </c>
      <c r="D4" s="152" t="n">
        <v>12591.92</v>
      </c>
      <c r="E4" s="152" t="n">
        <v>0</v>
      </c>
      <c r="F4" s="152" t="n">
        <v>97591.92</v>
      </c>
    </row>
    <row r="5" ht="15" customHeight="1" s="96">
      <c r="A5" s="148" t="inlineStr">
        <is>
          <t>2025-03-23</t>
        </is>
      </c>
      <c r="B5" s="148" t="inlineStr">
        <is>
          <t>SK20250323980</t>
        </is>
      </c>
      <c r="C5" s="147" t="inlineStr">
        <is>
          <t>收永达五金厂加工费</t>
        </is>
      </c>
      <c r="D5" s="151" t="n">
        <v>6120.95</v>
      </c>
      <c r="E5" s="151" t="n">
        <v>0</v>
      </c>
      <c r="F5" s="151" t="n">
        <v>103712.87</v>
      </c>
    </row>
    <row r="6" ht="15" customHeight="1" s="96">
      <c r="A6" s="150" t="inlineStr">
        <is>
          <t>2025-03-14</t>
        </is>
      </c>
      <c r="B6" s="150" t="inlineStr">
        <is>
          <t>SK20250314789</t>
        </is>
      </c>
      <c r="C6" s="149" t="inlineStr">
        <is>
          <t>收瑞丰金属加工费</t>
        </is>
      </c>
      <c r="D6" s="152" t="n">
        <v>17549.06</v>
      </c>
      <c r="E6" s="152" t="n">
        <v>0</v>
      </c>
      <c r="F6" s="152" t="n">
        <v>121261.93</v>
      </c>
    </row>
    <row r="7" ht="15" customHeight="1" s="96">
      <c r="A7" s="148" t="inlineStr">
        <is>
          <t>2025-03-28</t>
        </is>
      </c>
      <c r="B7" s="148" t="inlineStr">
        <is>
          <t>SK20250328649</t>
        </is>
      </c>
      <c r="C7" s="147" t="inlineStr">
        <is>
          <t>收恒丰铝业加工费</t>
        </is>
      </c>
      <c r="D7" s="151" t="n">
        <v>6475.81</v>
      </c>
      <c r="E7" s="151" t="n">
        <v>0</v>
      </c>
      <c r="F7" s="151" t="n">
        <v>127737.74</v>
      </c>
    </row>
    <row r="8" ht="15" customHeight="1" s="96">
      <c r="A8" s="150" t="inlineStr">
        <is>
          <t>2025-03-02</t>
        </is>
      </c>
      <c r="B8" s="150" t="inlineStr">
        <is>
          <t>FK20250302871</t>
        </is>
      </c>
      <c r="C8" s="149" t="inlineStr">
        <is>
          <t>付BB抛光厂抛光委外加工</t>
        </is>
      </c>
      <c r="D8" s="152" t="n">
        <v>0</v>
      </c>
      <c r="E8" s="152" t="n">
        <v>12622.4</v>
      </c>
      <c r="F8" s="152" t="n">
        <v>115115.34</v>
      </c>
    </row>
    <row r="9" ht="15" customHeight="1" s="96">
      <c r="A9" s="148" t="inlineStr">
        <is>
          <t>2025-03-07</t>
        </is>
      </c>
      <c r="B9" s="148" t="inlineStr">
        <is>
          <t>FK20250307488</t>
        </is>
      </c>
      <c r="C9" s="147" t="inlineStr">
        <is>
          <t>付AA喷砂厂喷砂委外加工</t>
        </is>
      </c>
      <c r="D9" s="151" t="n">
        <v>0</v>
      </c>
      <c r="E9" s="151" t="n">
        <v>13585.42</v>
      </c>
      <c r="F9" s="151" t="n">
        <v>101529.92</v>
      </c>
    </row>
    <row r="10" ht="15" customHeight="1" s="96">
      <c r="A10" s="150" t="inlineStr">
        <is>
          <t>2025-03-07</t>
        </is>
      </c>
      <c r="B10" s="150" t="inlineStr">
        <is>
          <t>FK20250307693</t>
        </is>
      </c>
      <c r="C10" s="149" t="inlineStr">
        <is>
          <t>付ZZ挂具厂挂具</t>
        </is>
      </c>
      <c r="D10" s="152" t="n">
        <v>0</v>
      </c>
      <c r="E10" s="152" t="n">
        <v>3656.66</v>
      </c>
      <c r="F10" s="152" t="n">
        <v>97873.25999999999</v>
      </c>
    </row>
    <row r="11" ht="15" customHeight="1" s="96">
      <c r="A11" s="148" t="inlineStr">
        <is>
          <t>2025-03-02</t>
        </is>
      </c>
      <c r="B11" s="148" t="inlineStr">
        <is>
          <t>FK20250302170</t>
        </is>
      </c>
      <c r="C11" s="147" t="inlineStr">
        <is>
          <t>付BB抛光厂抛光委外加工</t>
        </is>
      </c>
      <c r="D11" s="151" t="n">
        <v>0</v>
      </c>
      <c r="E11" s="151" t="n">
        <v>1661.62</v>
      </c>
      <c r="F11" s="151" t="n">
        <v>96211.64</v>
      </c>
    </row>
    <row r="12" ht="15" customHeight="1" s="96">
      <c r="A12" s="150" t="inlineStr">
        <is>
          <t>2025-03-20</t>
        </is>
      </c>
      <c r="B12" s="150" t="inlineStr">
        <is>
          <t>FK20250320513</t>
        </is>
      </c>
      <c r="C12" s="149" t="inlineStr">
        <is>
          <t>付XX化工三酸/片碱/亚钠</t>
        </is>
      </c>
      <c r="D12" s="152" t="n">
        <v>0</v>
      </c>
      <c r="E12" s="152" t="n">
        <v>10290.58</v>
      </c>
      <c r="F12" s="152" t="n">
        <v>85921.06</v>
      </c>
    </row>
    <row r="13" ht="15" customHeight="1" s="96">
      <c r="A13" s="148" t="inlineStr">
        <is>
          <t>2025-03-17</t>
        </is>
      </c>
      <c r="B13" s="148" t="inlineStr">
        <is>
          <t>FK20250317785</t>
        </is>
      </c>
      <c r="C13" s="147" t="inlineStr">
        <is>
          <t>付ZZ挂具厂挂具</t>
        </is>
      </c>
      <c r="D13" s="151" t="n">
        <v>0</v>
      </c>
      <c r="E13" s="151" t="n">
        <v>14053.24</v>
      </c>
      <c r="F13" s="151" t="n">
        <v>71867.82000000001</v>
      </c>
    </row>
    <row r="14" ht="15" customHeight="1" s="96">
      <c r="A14" s="150" t="inlineStr">
        <is>
          <t>2025-03-22</t>
        </is>
      </c>
      <c r="B14" s="150" t="inlineStr">
        <is>
          <t>FK20250322109</t>
        </is>
      </c>
      <c r="C14" s="149" t="inlineStr">
        <is>
          <t>付ZZ挂具厂挂具</t>
        </is>
      </c>
      <c r="D14" s="152" t="n">
        <v>0</v>
      </c>
      <c r="E14" s="152" t="n">
        <v>7129.76</v>
      </c>
      <c r="F14" s="152" t="n">
        <v>64738.06</v>
      </c>
    </row>
    <row r="15" ht="15" customHeight="1" s="96">
      <c r="A15" s="148" t="inlineStr">
        <is>
          <t>2025-03-15</t>
        </is>
      </c>
      <c r="B15" s="147" t="n"/>
      <c r="C15" s="147" t="inlineStr">
        <is>
          <t>付房租</t>
        </is>
      </c>
      <c r="D15" s="151" t="n">
        <v>0</v>
      </c>
      <c r="E15" s="151" t="n">
        <v>8000</v>
      </c>
      <c r="F15" s="151" t="n">
        <v>56738.06</v>
      </c>
    </row>
    <row r="16" ht="15" customHeight="1" s="96">
      <c r="A16" s="150" t="inlineStr">
        <is>
          <t>2025-04-01</t>
        </is>
      </c>
      <c r="B16" s="149" t="n"/>
      <c r="C16" s="149" t="inlineStr">
        <is>
          <t>期初余额</t>
        </is>
      </c>
      <c r="D16" s="152" t="n">
        <v>0</v>
      </c>
      <c r="E16" s="152" t="n">
        <v>0</v>
      </c>
      <c r="F16" s="152" t="n">
        <v>56738.06</v>
      </c>
    </row>
    <row r="17" ht="15" customHeight="1" s="96">
      <c r="A17" s="148" t="inlineStr">
        <is>
          <t>2025-04-06</t>
        </is>
      </c>
      <c r="B17" s="148" t="inlineStr">
        <is>
          <t>SK20250406960</t>
        </is>
      </c>
      <c r="C17" s="147" t="inlineStr">
        <is>
          <t>收瑞丰金属加工费</t>
        </is>
      </c>
      <c r="D17" s="151" t="n">
        <v>10101.26</v>
      </c>
      <c r="E17" s="151" t="n">
        <v>0</v>
      </c>
      <c r="F17" s="151" t="n">
        <v>66839.32000000001</v>
      </c>
    </row>
    <row r="18" ht="15" customHeight="1" s="96">
      <c r="A18" s="150" t="inlineStr">
        <is>
          <t>2025-04-21</t>
        </is>
      </c>
      <c r="B18" s="150" t="inlineStr">
        <is>
          <t>SK20250421830</t>
        </is>
      </c>
      <c r="C18" s="149" t="inlineStr">
        <is>
          <t>收华泰金属加工费</t>
        </is>
      </c>
      <c r="D18" s="152" t="n">
        <v>6942.75</v>
      </c>
      <c r="E18" s="152" t="n">
        <v>0</v>
      </c>
      <c r="F18" s="152" t="n">
        <v>73782.07000000001</v>
      </c>
    </row>
    <row r="19" ht="15" customHeight="1" s="96">
      <c r="A19" s="148" t="inlineStr">
        <is>
          <t>2025-04-18</t>
        </is>
      </c>
      <c r="B19" s="148" t="inlineStr">
        <is>
          <t>SK20250418952</t>
        </is>
      </c>
      <c r="C19" s="147" t="inlineStr">
        <is>
          <t>收瑞丰金属加工费</t>
        </is>
      </c>
      <c r="D19" s="151" t="n">
        <v>9483.940000000001</v>
      </c>
      <c r="E19" s="151" t="n">
        <v>0</v>
      </c>
      <c r="F19" s="151" t="n">
        <v>83266.00999999999</v>
      </c>
    </row>
    <row r="20" ht="15" customHeight="1" s="96">
      <c r="A20" s="150" t="inlineStr">
        <is>
          <t>2025-04-13</t>
        </is>
      </c>
      <c r="B20" s="150" t="inlineStr">
        <is>
          <t>FK20250413185</t>
        </is>
      </c>
      <c r="C20" s="149" t="inlineStr">
        <is>
          <t>付BB抛光厂抛光委外加工</t>
        </is>
      </c>
      <c r="D20" s="152" t="n">
        <v>0</v>
      </c>
      <c r="E20" s="152" t="n">
        <v>8683.68</v>
      </c>
      <c r="F20" s="152" t="n">
        <v>74582.33</v>
      </c>
    </row>
    <row r="21" ht="15" customHeight="1" s="96">
      <c r="A21" s="148" t="inlineStr">
        <is>
          <t>2025-04-02</t>
        </is>
      </c>
      <c r="B21" s="148" t="inlineStr">
        <is>
          <t>FK20250402565</t>
        </is>
      </c>
      <c r="C21" s="147" t="inlineStr">
        <is>
          <t>付ZZ挂具厂挂具</t>
        </is>
      </c>
      <c r="D21" s="151" t="n">
        <v>0</v>
      </c>
      <c r="E21" s="151" t="n">
        <v>5997.01</v>
      </c>
      <c r="F21" s="151" t="n">
        <v>68585.32000000001</v>
      </c>
    </row>
    <row r="22" ht="15" customHeight="1" s="96">
      <c r="A22" s="150" t="inlineStr">
        <is>
          <t>2025-04-25</t>
        </is>
      </c>
      <c r="B22" s="150" t="inlineStr">
        <is>
          <t>FK20250425581</t>
        </is>
      </c>
      <c r="C22" s="149" t="inlineStr">
        <is>
          <t>付AA喷砂厂喷砂委外加工</t>
        </is>
      </c>
      <c r="D22" s="152" t="n">
        <v>0</v>
      </c>
      <c r="E22" s="152" t="n">
        <v>4157.94</v>
      </c>
      <c r="F22" s="152" t="n">
        <v>64427.38</v>
      </c>
    </row>
    <row r="23" ht="15" customHeight="1" s="96">
      <c r="A23" s="148" t="inlineStr">
        <is>
          <t>2025-04-21</t>
        </is>
      </c>
      <c r="B23" s="148" t="inlineStr">
        <is>
          <t>FK20250421872</t>
        </is>
      </c>
      <c r="C23" s="147" t="inlineStr">
        <is>
          <t>付XX化工三酸/片碱/亚钠</t>
        </is>
      </c>
      <c r="D23" s="151" t="n">
        <v>0</v>
      </c>
      <c r="E23" s="151" t="n">
        <v>11827.88</v>
      </c>
      <c r="F23" s="151" t="n">
        <v>52599.5</v>
      </c>
    </row>
    <row r="24" ht="15" customHeight="1" s="96">
      <c r="A24" s="150" t="inlineStr">
        <is>
          <t>2025-04-01</t>
        </is>
      </c>
      <c r="B24" s="150" t="inlineStr">
        <is>
          <t>FK20250401736</t>
        </is>
      </c>
      <c r="C24" s="149" t="inlineStr">
        <is>
          <t>付YY化工色粉/除油剂</t>
        </is>
      </c>
      <c r="D24" s="152" t="n">
        <v>0</v>
      </c>
      <c r="E24" s="152" t="n">
        <v>3390.73</v>
      </c>
      <c r="F24" s="152" t="n">
        <v>49208.77</v>
      </c>
    </row>
    <row r="25" ht="15" customHeight="1" s="96">
      <c r="A25" s="148" t="inlineStr">
        <is>
          <t>2025-04-05</t>
        </is>
      </c>
      <c r="B25" s="148" t="inlineStr">
        <is>
          <t>FK20250405677</t>
        </is>
      </c>
      <c r="C25" s="147" t="inlineStr">
        <is>
          <t>付YY化工色粉/除油剂</t>
        </is>
      </c>
      <c r="D25" s="151" t="n">
        <v>0</v>
      </c>
      <c r="E25" s="151" t="n">
        <v>2330.2</v>
      </c>
      <c r="F25" s="151" t="n">
        <v>46878.57</v>
      </c>
    </row>
    <row r="26" ht="15" customHeight="1" s="96">
      <c r="A26" s="150" t="inlineStr">
        <is>
          <t>2025-04-15</t>
        </is>
      </c>
      <c r="B26" s="149" t="n"/>
      <c r="C26" s="149" t="inlineStr">
        <is>
          <t>付房租</t>
        </is>
      </c>
      <c r="D26" s="152" t="n">
        <v>0</v>
      </c>
      <c r="E26" s="152" t="n">
        <v>8000</v>
      </c>
      <c r="F26" s="152" t="n">
        <v>38878.57</v>
      </c>
    </row>
    <row r="27" ht="15" customHeight="1" s="96">
      <c r="A27" s="148" t="inlineStr">
        <is>
          <t>2025-05-01</t>
        </is>
      </c>
      <c r="B27" s="147" t="n"/>
      <c r="C27" s="147" t="inlineStr">
        <is>
          <t>期初余额</t>
        </is>
      </c>
      <c r="D27" s="151" t="n">
        <v>0</v>
      </c>
      <c r="E27" s="151" t="n">
        <v>0</v>
      </c>
      <c r="F27" s="151" t="n">
        <v>38878.57</v>
      </c>
    </row>
    <row r="28" ht="15" customHeight="1" s="96">
      <c r="A28" s="150" t="inlineStr">
        <is>
          <t>2025-05-16</t>
        </is>
      </c>
      <c r="B28" s="150" t="inlineStr">
        <is>
          <t>SK20250516542</t>
        </is>
      </c>
      <c r="C28" s="149" t="inlineStr">
        <is>
          <t>收瑞丰金属加工费</t>
        </is>
      </c>
      <c r="D28" s="152" t="n">
        <v>3447.95</v>
      </c>
      <c r="E28" s="152" t="n">
        <v>0</v>
      </c>
      <c r="F28" s="152" t="n">
        <v>42326.52</v>
      </c>
    </row>
    <row r="29" ht="15" customHeight="1" s="96">
      <c r="A29" s="148" t="inlineStr">
        <is>
          <t>2025-05-24</t>
        </is>
      </c>
      <c r="B29" s="148" t="inlineStr">
        <is>
          <t>SK20250524193</t>
        </is>
      </c>
      <c r="C29" s="147" t="inlineStr">
        <is>
          <t>收天成铝材加工费</t>
        </is>
      </c>
      <c r="D29" s="151" t="n">
        <v>12866.85</v>
      </c>
      <c r="E29" s="151" t="n">
        <v>0</v>
      </c>
      <c r="F29" s="151" t="n">
        <v>55193.37</v>
      </c>
    </row>
    <row r="30" ht="15" customHeight="1" s="96">
      <c r="A30" s="150" t="inlineStr">
        <is>
          <t>2025-05-25</t>
        </is>
      </c>
      <c r="B30" s="150" t="inlineStr">
        <is>
          <t>FK20250525773</t>
        </is>
      </c>
      <c r="C30" s="149" t="inlineStr">
        <is>
          <t>付AA喷砂厂喷砂委外加工</t>
        </is>
      </c>
      <c r="D30" s="152" t="n">
        <v>0</v>
      </c>
      <c r="E30" s="152" t="n">
        <v>13041.2</v>
      </c>
      <c r="F30" s="152" t="n">
        <v>42152.17</v>
      </c>
    </row>
    <row r="31" ht="15" customHeight="1" s="96">
      <c r="A31" s="148" t="inlineStr">
        <is>
          <t>2025-05-28</t>
        </is>
      </c>
      <c r="B31" s="148" t="inlineStr">
        <is>
          <t>FK20250528292</t>
        </is>
      </c>
      <c r="C31" s="147" t="inlineStr">
        <is>
          <t>付BB抛光厂抛光委外加工</t>
        </is>
      </c>
      <c r="D31" s="151" t="n">
        <v>0</v>
      </c>
      <c r="E31" s="151" t="n">
        <v>7198.66</v>
      </c>
      <c r="F31" s="151" t="n">
        <v>34953.51</v>
      </c>
    </row>
    <row r="32" ht="15" customHeight="1" s="96">
      <c r="A32" s="150" t="inlineStr">
        <is>
          <t>2025-05-01</t>
        </is>
      </c>
      <c r="B32" s="150" t="inlineStr">
        <is>
          <t>FK20250501418</t>
        </is>
      </c>
      <c r="C32" s="149" t="inlineStr">
        <is>
          <t>付BB抛光厂抛光委外加工</t>
        </is>
      </c>
      <c r="D32" s="152" t="n">
        <v>0</v>
      </c>
      <c r="E32" s="152" t="n">
        <v>12090.05</v>
      </c>
      <c r="F32" s="152" t="n">
        <v>22863.46</v>
      </c>
    </row>
    <row r="33" ht="15" customHeight="1" s="96">
      <c r="A33" s="148" t="inlineStr">
        <is>
          <t>2025-05-18</t>
        </is>
      </c>
      <c r="B33" s="148" t="inlineStr">
        <is>
          <t>FK20250518330</t>
        </is>
      </c>
      <c r="C33" s="147" t="inlineStr">
        <is>
          <t>付XX化工三酸/片碱/亚钠</t>
        </is>
      </c>
      <c r="D33" s="151" t="n">
        <v>0</v>
      </c>
      <c r="E33" s="151" t="n">
        <v>8507.65</v>
      </c>
      <c r="F33" s="151" t="n">
        <v>14355.81</v>
      </c>
    </row>
    <row r="34" ht="15" customHeight="1" s="96">
      <c r="A34" s="150" t="inlineStr">
        <is>
          <t>2025-05-27</t>
        </is>
      </c>
      <c r="B34" s="150" t="inlineStr">
        <is>
          <t>FK20250527763</t>
        </is>
      </c>
      <c r="C34" s="149" t="inlineStr">
        <is>
          <t>付XX化工三酸/片碱/亚钠</t>
        </is>
      </c>
      <c r="D34" s="152" t="n">
        <v>0</v>
      </c>
      <c r="E34" s="152" t="n">
        <v>7190.99</v>
      </c>
      <c r="F34" s="152" t="n">
        <v>7164.82</v>
      </c>
    </row>
    <row r="35" ht="15" customHeight="1" s="96">
      <c r="A35" s="148" t="inlineStr">
        <is>
          <t>2025-05-15</t>
        </is>
      </c>
      <c r="B35" s="147" t="n"/>
      <c r="C35" s="147" t="inlineStr">
        <is>
          <t>付房租</t>
        </is>
      </c>
      <c r="D35" s="151" t="n">
        <v>0</v>
      </c>
      <c r="E35" s="151" t="n">
        <v>8000</v>
      </c>
      <c r="F35" s="151" t="n">
        <v>-835.1799999999999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0">
    <tabColor rgb="FF70AD47"/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8" customWidth="1" style="95" min="2" max="2"/>
    <col width="30" customWidth="1" style="95" min="3" max="3"/>
    <col width="14" customWidth="1" style="95" min="4" max="6"/>
  </cols>
  <sheetData>
    <row r="1" ht="15" customHeight="1" s="96">
      <c r="A1" s="179" t="inlineStr">
        <is>
          <t>N银行/微信流水（当现金用）</t>
        </is>
      </c>
    </row>
    <row r="2" ht="15" customHeight="1" s="96">
      <c r="A2" s="124" t="inlineStr">
        <is>
          <t>日期</t>
        </is>
      </c>
      <c r="B2" s="124" t="inlineStr">
        <is>
          <t>单据号</t>
        </is>
      </c>
      <c r="C2" s="124" t="inlineStr">
        <is>
          <t>摘要</t>
        </is>
      </c>
      <c r="D2" s="124" t="inlineStr">
        <is>
          <t>收入(元)</t>
        </is>
      </c>
      <c r="E2" s="124" t="inlineStr">
        <is>
          <t>支出(元)</t>
        </is>
      </c>
      <c r="F2" s="124" t="inlineStr">
        <is>
          <t>余额(元)</t>
        </is>
      </c>
    </row>
    <row r="3" ht="15" customHeight="1" s="96">
      <c r="A3" s="148" t="inlineStr">
        <is>
          <t>2025-03-01</t>
        </is>
      </c>
      <c r="B3" s="147" t="n"/>
      <c r="C3" s="147" t="inlineStr">
        <is>
          <t>期初余额</t>
        </is>
      </c>
      <c r="D3" s="151" t="n">
        <v>0</v>
      </c>
      <c r="E3" s="151" t="n">
        <v>0</v>
      </c>
      <c r="F3" s="151" t="n">
        <v>5000</v>
      </c>
    </row>
    <row r="4" ht="15" customHeight="1" s="96">
      <c r="A4" s="150" t="inlineStr">
        <is>
          <t>2025-03-27</t>
        </is>
      </c>
      <c r="B4" s="150" t="inlineStr">
        <is>
          <t>SK20250327884</t>
        </is>
      </c>
      <c r="C4" s="149" t="inlineStr">
        <is>
          <t>收恒丰铝业加工费</t>
        </is>
      </c>
      <c r="D4" s="152" t="n">
        <v>19603.72</v>
      </c>
      <c r="E4" s="152" t="n">
        <v>0</v>
      </c>
      <c r="F4" s="152" t="n">
        <v>24603.72</v>
      </c>
    </row>
    <row r="5" ht="15" customHeight="1" s="96">
      <c r="A5" s="148" t="inlineStr">
        <is>
          <t>2025-03-05</t>
        </is>
      </c>
      <c r="B5" s="148" t="inlineStr">
        <is>
          <t>SK20250305269</t>
        </is>
      </c>
      <c r="C5" s="147" t="inlineStr">
        <is>
          <t>收鑫达精密加工费</t>
        </is>
      </c>
      <c r="D5" s="151" t="n">
        <v>13875.51</v>
      </c>
      <c r="E5" s="151" t="n">
        <v>0</v>
      </c>
      <c r="F5" s="151" t="n">
        <v>38479.23</v>
      </c>
    </row>
    <row r="6" ht="15" customHeight="1" s="96">
      <c r="A6" s="150" t="inlineStr">
        <is>
          <t>2025-03-09</t>
        </is>
      </c>
      <c r="B6" s="150" t="inlineStr">
        <is>
          <t>SK20250309873</t>
        </is>
      </c>
      <c r="C6" s="149" t="inlineStr">
        <is>
          <t>收宏盛五金加工费</t>
        </is>
      </c>
      <c r="D6" s="152" t="n">
        <v>19358.53</v>
      </c>
      <c r="E6" s="152" t="n">
        <v>0</v>
      </c>
      <c r="F6" s="152" t="n">
        <v>57837.76</v>
      </c>
    </row>
    <row r="7" ht="15" customHeight="1" s="96">
      <c r="A7" s="148" t="inlineStr">
        <is>
          <t>2025-03-24</t>
        </is>
      </c>
      <c r="B7" s="148" t="inlineStr">
        <is>
          <t>SK20250324787</t>
        </is>
      </c>
      <c r="C7" s="147" t="inlineStr">
        <is>
          <t>收华泰金属加工费</t>
        </is>
      </c>
      <c r="D7" s="151" t="n">
        <v>14833.08</v>
      </c>
      <c r="E7" s="151" t="n">
        <v>0</v>
      </c>
      <c r="F7" s="151" t="n">
        <v>72670.84</v>
      </c>
    </row>
    <row r="8" ht="15" customHeight="1" s="96">
      <c r="A8" s="150" t="inlineStr">
        <is>
          <t>2025-03-21</t>
        </is>
      </c>
      <c r="B8" s="150" t="inlineStr">
        <is>
          <t>SK20250321562</t>
        </is>
      </c>
      <c r="C8" s="149" t="inlineStr">
        <is>
          <t>收天成铝材加工费</t>
        </is>
      </c>
      <c r="D8" s="152" t="n">
        <v>9885.799999999999</v>
      </c>
      <c r="E8" s="152" t="n">
        <v>0</v>
      </c>
      <c r="F8" s="152" t="n">
        <v>82556.64</v>
      </c>
    </row>
    <row r="9" ht="15" customHeight="1" s="96">
      <c r="A9" s="148" t="inlineStr">
        <is>
          <t>2025-03-04</t>
        </is>
      </c>
      <c r="B9" s="148" t="inlineStr">
        <is>
          <t>SK20250304121</t>
        </is>
      </c>
      <c r="C9" s="147" t="inlineStr">
        <is>
          <t>收华泰金属加工费</t>
        </is>
      </c>
      <c r="D9" s="151" t="n">
        <v>6044.55</v>
      </c>
      <c r="E9" s="151" t="n">
        <v>0</v>
      </c>
      <c r="F9" s="151" t="n">
        <v>88601.19</v>
      </c>
    </row>
    <row r="10" ht="15" customHeight="1" s="96">
      <c r="A10" s="150" t="inlineStr">
        <is>
          <t>2025-03-11</t>
        </is>
      </c>
      <c r="B10" s="150" t="inlineStr">
        <is>
          <t>SK20250311785</t>
        </is>
      </c>
      <c r="C10" s="149" t="inlineStr">
        <is>
          <t>收恒丰铝业加工费</t>
        </is>
      </c>
      <c r="D10" s="152" t="n">
        <v>11254.81</v>
      </c>
      <c r="E10" s="152" t="n">
        <v>0</v>
      </c>
      <c r="F10" s="152" t="n">
        <v>99856</v>
      </c>
    </row>
    <row r="11" ht="15" customHeight="1" s="96">
      <c r="A11" s="148" t="inlineStr">
        <is>
          <t>2025-03-16</t>
        </is>
      </c>
      <c r="B11" s="148" t="inlineStr">
        <is>
          <t>SK20250316690</t>
        </is>
      </c>
      <c r="C11" s="147" t="inlineStr">
        <is>
          <t>收华泰金属加工费</t>
        </is>
      </c>
      <c r="D11" s="151" t="n">
        <v>11706.21</v>
      </c>
      <c r="E11" s="151" t="n">
        <v>0</v>
      </c>
      <c r="F11" s="151" t="n">
        <v>111562.21</v>
      </c>
    </row>
    <row r="12" ht="15" customHeight="1" s="96">
      <c r="A12" s="150" t="inlineStr">
        <is>
          <t>2025-03-16</t>
        </is>
      </c>
      <c r="B12" s="150" t="inlineStr">
        <is>
          <t>SK20250316294</t>
        </is>
      </c>
      <c r="C12" s="149" t="inlineStr">
        <is>
          <t>收华泰金属加工费</t>
        </is>
      </c>
      <c r="D12" s="152" t="n">
        <v>16123.15</v>
      </c>
      <c r="E12" s="152" t="n">
        <v>0</v>
      </c>
      <c r="F12" s="152" t="n">
        <v>127685.36</v>
      </c>
    </row>
    <row r="13" ht="15" customHeight="1" s="96">
      <c r="A13" s="148" t="inlineStr">
        <is>
          <t>2025-03-04</t>
        </is>
      </c>
      <c r="B13" s="148" t="inlineStr">
        <is>
          <t>SK20250304533</t>
        </is>
      </c>
      <c r="C13" s="147" t="inlineStr">
        <is>
          <t>收恒丰铝业加工费</t>
        </is>
      </c>
      <c r="D13" s="151" t="n">
        <v>13861.69</v>
      </c>
      <c r="E13" s="151" t="n">
        <v>0</v>
      </c>
      <c r="F13" s="151" t="n">
        <v>141547.05</v>
      </c>
    </row>
    <row r="14" ht="15" customHeight="1" s="96">
      <c r="A14" s="150" t="inlineStr">
        <is>
          <t>2025-03-21</t>
        </is>
      </c>
      <c r="B14" s="150" t="inlineStr">
        <is>
          <t>SK20250321919</t>
        </is>
      </c>
      <c r="C14" s="149" t="inlineStr">
        <is>
          <t>收恒丰铝业加工费</t>
        </is>
      </c>
      <c r="D14" s="152" t="n">
        <v>3091.03</v>
      </c>
      <c r="E14" s="152" t="n">
        <v>0</v>
      </c>
      <c r="F14" s="152" t="n">
        <v>144638.08</v>
      </c>
    </row>
    <row r="15" ht="15" customHeight="1" s="96">
      <c r="A15" s="148" t="inlineStr">
        <is>
          <t>2025-03-05</t>
        </is>
      </c>
      <c r="B15" s="148" t="inlineStr">
        <is>
          <t>FK20250305355</t>
        </is>
      </c>
      <c r="C15" s="147" t="inlineStr">
        <is>
          <t>付AA喷砂厂喷砂委外加工</t>
        </is>
      </c>
      <c r="D15" s="151" t="n">
        <v>0</v>
      </c>
      <c r="E15" s="151" t="n">
        <v>3160.58</v>
      </c>
      <c r="F15" s="151" t="n">
        <v>141477.5</v>
      </c>
    </row>
    <row r="16" ht="15" customHeight="1" s="96">
      <c r="A16" s="150" t="inlineStr">
        <is>
          <t>2025-03-28</t>
        </is>
      </c>
      <c r="B16" s="150" t="inlineStr">
        <is>
          <t>FK20250328200</t>
        </is>
      </c>
      <c r="C16" s="149" t="inlineStr">
        <is>
          <t>付XX化工三酸/片碱/亚钠</t>
        </is>
      </c>
      <c r="D16" s="152" t="n">
        <v>0</v>
      </c>
      <c r="E16" s="152" t="n">
        <v>6925.4</v>
      </c>
      <c r="F16" s="152" t="n">
        <v>134552.1</v>
      </c>
    </row>
    <row r="17" ht="15" customHeight="1" s="96">
      <c r="A17" s="148" t="inlineStr">
        <is>
          <t>2025-03-28</t>
        </is>
      </c>
      <c r="B17" s="148" t="inlineStr">
        <is>
          <t>FK20250328592</t>
        </is>
      </c>
      <c r="C17" s="147" t="inlineStr">
        <is>
          <t>付YY化工色粉/除油剂</t>
        </is>
      </c>
      <c r="D17" s="151" t="n">
        <v>0</v>
      </c>
      <c r="E17" s="151" t="n">
        <v>2911.51</v>
      </c>
      <c r="F17" s="151" t="n">
        <v>131640.59</v>
      </c>
    </row>
    <row r="18" ht="15" customHeight="1" s="96">
      <c r="A18" s="150" t="inlineStr">
        <is>
          <t>2025-03-01</t>
        </is>
      </c>
      <c r="B18" s="150" t="inlineStr">
        <is>
          <t>FK20250301392</t>
        </is>
      </c>
      <c r="C18" s="149" t="inlineStr">
        <is>
          <t>付AA喷砂厂喷砂委外加工</t>
        </is>
      </c>
      <c r="D18" s="152" t="n">
        <v>0</v>
      </c>
      <c r="E18" s="152" t="n">
        <v>4345.44</v>
      </c>
      <c r="F18" s="152" t="n">
        <v>127295.15</v>
      </c>
    </row>
    <row r="19" ht="15" customHeight="1" s="96">
      <c r="A19" s="148" t="inlineStr">
        <is>
          <t>2025-03-14</t>
        </is>
      </c>
      <c r="B19" s="148" t="inlineStr">
        <is>
          <t>FK20250314258</t>
        </is>
      </c>
      <c r="C19" s="147" t="inlineStr">
        <is>
          <t>付BB抛光厂抛光委外加工</t>
        </is>
      </c>
      <c r="D19" s="151" t="n">
        <v>0</v>
      </c>
      <c r="E19" s="151" t="n">
        <v>10097.13</v>
      </c>
      <c r="F19" s="151" t="n">
        <v>117198.02</v>
      </c>
    </row>
    <row r="20" ht="15" customHeight="1" s="96">
      <c r="A20" s="150" t="inlineStr">
        <is>
          <t>2025-03-24</t>
        </is>
      </c>
      <c r="B20" s="150" t="inlineStr">
        <is>
          <t>FK20250324158</t>
        </is>
      </c>
      <c r="C20" s="149" t="inlineStr">
        <is>
          <t>付BB抛光厂抛光委外加工</t>
        </is>
      </c>
      <c r="D20" s="152" t="n">
        <v>0</v>
      </c>
      <c r="E20" s="152" t="n">
        <v>1383.88</v>
      </c>
      <c r="F20" s="152" t="n">
        <v>115814.14</v>
      </c>
    </row>
    <row r="21" ht="15" customHeight="1" s="96">
      <c r="A21" s="148" t="inlineStr">
        <is>
          <t>2025-03-02</t>
        </is>
      </c>
      <c r="B21" s="148" t="inlineStr">
        <is>
          <t>FK20250302261</t>
        </is>
      </c>
      <c r="C21" s="147" t="inlineStr">
        <is>
          <t>付BB抛光厂抛光委外加工</t>
        </is>
      </c>
      <c r="D21" s="151" t="n">
        <v>0</v>
      </c>
      <c r="E21" s="151" t="n">
        <v>7413.43</v>
      </c>
      <c r="F21" s="151" t="n">
        <v>108400.71</v>
      </c>
    </row>
    <row r="22" ht="15" customHeight="1" s="96">
      <c r="A22" s="150" t="inlineStr">
        <is>
          <t>2025-03-04</t>
        </is>
      </c>
      <c r="B22" s="150" t="inlineStr">
        <is>
          <t>FK20250304140</t>
        </is>
      </c>
      <c r="C22" s="149" t="inlineStr">
        <is>
          <t>付BB抛光厂抛光委外加工</t>
        </is>
      </c>
      <c r="D22" s="152" t="n">
        <v>0</v>
      </c>
      <c r="E22" s="152" t="n">
        <v>4070.12</v>
      </c>
      <c r="F22" s="152" t="n">
        <v>104330.59</v>
      </c>
    </row>
    <row r="23" ht="15" customHeight="1" s="96">
      <c r="A23" s="148" t="inlineStr">
        <is>
          <t>2025-03-20</t>
        </is>
      </c>
      <c r="B23" s="148" t="inlineStr">
        <is>
          <t>FK20250320678</t>
        </is>
      </c>
      <c r="C23" s="147" t="inlineStr">
        <is>
          <t>付XX化工三酸/片碱/亚钠</t>
        </is>
      </c>
      <c r="D23" s="151" t="n">
        <v>0</v>
      </c>
      <c r="E23" s="151" t="n">
        <v>6578.76</v>
      </c>
      <c r="F23" s="151" t="n">
        <v>97751.83</v>
      </c>
    </row>
    <row r="24" ht="15" customHeight="1" s="96">
      <c r="A24" s="150" t="inlineStr">
        <is>
          <t>2025-03-23</t>
        </is>
      </c>
      <c r="B24" s="150" t="inlineStr">
        <is>
          <t>FK20250323234</t>
        </is>
      </c>
      <c r="C24" s="149" t="inlineStr">
        <is>
          <t>付ZZ挂具厂挂具</t>
        </is>
      </c>
      <c r="D24" s="152" t="n">
        <v>0</v>
      </c>
      <c r="E24" s="152" t="n">
        <v>3960.95</v>
      </c>
      <c r="F24" s="152" t="n">
        <v>93790.88</v>
      </c>
    </row>
    <row r="25" ht="15" customHeight="1" s="96">
      <c r="A25" s="148" t="inlineStr">
        <is>
          <t>2025-04-01</t>
        </is>
      </c>
      <c r="B25" s="147" t="n"/>
      <c r="C25" s="147" t="inlineStr">
        <is>
          <t>期初余额</t>
        </is>
      </c>
      <c r="D25" s="151" t="n">
        <v>0</v>
      </c>
      <c r="E25" s="151" t="n">
        <v>0</v>
      </c>
      <c r="F25" s="151" t="n">
        <v>93790.88</v>
      </c>
    </row>
    <row r="26" ht="15" customHeight="1" s="96">
      <c r="A26" s="150" t="inlineStr">
        <is>
          <t>2025-04-22</t>
        </is>
      </c>
      <c r="B26" s="150" t="inlineStr">
        <is>
          <t>SK20250422727</t>
        </is>
      </c>
      <c r="C26" s="149" t="inlineStr">
        <is>
          <t>收天成铝材加工费</t>
        </is>
      </c>
      <c r="D26" s="152" t="n">
        <v>19100.71</v>
      </c>
      <c r="E26" s="152" t="n">
        <v>0</v>
      </c>
      <c r="F26" s="152" t="n">
        <v>112891.59</v>
      </c>
    </row>
    <row r="27" ht="15" customHeight="1" s="96">
      <c r="A27" s="148" t="inlineStr">
        <is>
          <t>2025-04-27</t>
        </is>
      </c>
      <c r="B27" s="148" t="inlineStr">
        <is>
          <t>SK20250427556</t>
        </is>
      </c>
      <c r="C27" s="147" t="inlineStr">
        <is>
          <t>收宏盛五金加工费</t>
        </is>
      </c>
      <c r="D27" s="151" t="n">
        <v>16950.25</v>
      </c>
      <c r="E27" s="151" t="n">
        <v>0</v>
      </c>
      <c r="F27" s="151" t="n">
        <v>129841.84</v>
      </c>
    </row>
    <row r="28" ht="15" customHeight="1" s="96">
      <c r="A28" s="150" t="inlineStr">
        <is>
          <t>2025-04-21</t>
        </is>
      </c>
      <c r="B28" s="150" t="inlineStr">
        <is>
          <t>SK20250421596</t>
        </is>
      </c>
      <c r="C28" s="149" t="inlineStr">
        <is>
          <t>收博远五金加工费</t>
        </is>
      </c>
      <c r="D28" s="152" t="n">
        <v>15784.65</v>
      </c>
      <c r="E28" s="152" t="n">
        <v>0</v>
      </c>
      <c r="F28" s="152" t="n">
        <v>145626.49</v>
      </c>
    </row>
    <row r="29" ht="15" customHeight="1" s="96">
      <c r="A29" s="148" t="inlineStr">
        <is>
          <t>2025-04-10</t>
        </is>
      </c>
      <c r="B29" s="148" t="inlineStr">
        <is>
          <t>SK20250410653</t>
        </is>
      </c>
      <c r="C29" s="147" t="inlineStr">
        <is>
          <t>收华泰金属加工费</t>
        </is>
      </c>
      <c r="D29" s="151" t="n">
        <v>6890.87</v>
      </c>
      <c r="E29" s="151" t="n">
        <v>0</v>
      </c>
      <c r="F29" s="151" t="n">
        <v>152517.36</v>
      </c>
    </row>
    <row r="30" ht="15" customHeight="1" s="96">
      <c r="A30" s="150" t="inlineStr">
        <is>
          <t>2025-04-03</t>
        </is>
      </c>
      <c r="B30" s="150" t="inlineStr">
        <is>
          <t>SK20250403810</t>
        </is>
      </c>
      <c r="C30" s="149" t="inlineStr">
        <is>
          <t>收鑫达精密加工费</t>
        </is>
      </c>
      <c r="D30" s="152" t="n">
        <v>4714.95</v>
      </c>
      <c r="E30" s="152" t="n">
        <v>0</v>
      </c>
      <c r="F30" s="152" t="n">
        <v>157232.31</v>
      </c>
    </row>
    <row r="31" ht="15" customHeight="1" s="96">
      <c r="A31" s="148" t="inlineStr">
        <is>
          <t>2025-04-05</t>
        </is>
      </c>
      <c r="B31" s="148" t="inlineStr">
        <is>
          <t>SK20250405438</t>
        </is>
      </c>
      <c r="C31" s="147" t="inlineStr">
        <is>
          <t>收华泰金属加工费</t>
        </is>
      </c>
      <c r="D31" s="151" t="n">
        <v>3156.12</v>
      </c>
      <c r="E31" s="151" t="n">
        <v>0</v>
      </c>
      <c r="F31" s="151" t="n">
        <v>160388.43</v>
      </c>
    </row>
    <row r="32" ht="15" customHeight="1" s="96">
      <c r="A32" s="150" t="inlineStr">
        <is>
          <t>2025-04-14</t>
        </is>
      </c>
      <c r="B32" s="150" t="inlineStr">
        <is>
          <t>SK20250414812</t>
        </is>
      </c>
      <c r="C32" s="149" t="inlineStr">
        <is>
          <t>收宏盛五金加工费</t>
        </is>
      </c>
      <c r="D32" s="152" t="n">
        <v>18287.09</v>
      </c>
      <c r="E32" s="152" t="n">
        <v>0</v>
      </c>
      <c r="F32" s="152" t="n">
        <v>178675.52</v>
      </c>
    </row>
    <row r="33" ht="15" customHeight="1" s="96">
      <c r="A33" s="148" t="inlineStr">
        <is>
          <t>2025-04-01</t>
        </is>
      </c>
      <c r="B33" s="148" t="inlineStr">
        <is>
          <t>SK20250401405</t>
        </is>
      </c>
      <c r="C33" s="147" t="inlineStr">
        <is>
          <t>收宏盛五金加工费</t>
        </is>
      </c>
      <c r="D33" s="151" t="n">
        <v>10585.64</v>
      </c>
      <c r="E33" s="151" t="n">
        <v>0</v>
      </c>
      <c r="F33" s="151" t="n">
        <v>189261.16</v>
      </c>
    </row>
    <row r="34" ht="15" customHeight="1" s="96">
      <c r="A34" s="150" t="inlineStr">
        <is>
          <t>2025-04-25</t>
        </is>
      </c>
      <c r="B34" s="150" t="inlineStr">
        <is>
          <t>SK20250425651</t>
        </is>
      </c>
      <c r="C34" s="149" t="inlineStr">
        <is>
          <t>收宏盛五金加工费</t>
        </is>
      </c>
      <c r="D34" s="152" t="n">
        <v>17362.06</v>
      </c>
      <c r="E34" s="152" t="n">
        <v>0</v>
      </c>
      <c r="F34" s="152" t="n">
        <v>206623.22</v>
      </c>
    </row>
    <row r="35" ht="15" customHeight="1" s="96">
      <c r="A35" s="148" t="inlineStr">
        <is>
          <t>2025-04-24</t>
        </is>
      </c>
      <c r="B35" s="148" t="inlineStr">
        <is>
          <t>SK20250424546</t>
        </is>
      </c>
      <c r="C35" s="147" t="inlineStr">
        <is>
          <t>收华泰金属加工费</t>
        </is>
      </c>
      <c r="D35" s="151" t="n">
        <v>10788.13</v>
      </c>
      <c r="E35" s="151" t="n">
        <v>0</v>
      </c>
      <c r="F35" s="151" t="n">
        <v>217411.35</v>
      </c>
    </row>
    <row r="36" ht="15" customHeight="1" s="96">
      <c r="A36" s="150" t="inlineStr">
        <is>
          <t>2025-04-16</t>
        </is>
      </c>
      <c r="B36" s="150" t="inlineStr">
        <is>
          <t>SK20250416841</t>
        </is>
      </c>
      <c r="C36" s="149" t="inlineStr">
        <is>
          <t>收永达五金厂加工费</t>
        </is>
      </c>
      <c r="D36" s="152" t="n">
        <v>8999.43</v>
      </c>
      <c r="E36" s="152" t="n">
        <v>0</v>
      </c>
      <c r="F36" s="152" t="n">
        <v>226410.78</v>
      </c>
    </row>
    <row r="37" ht="15" customHeight="1" s="96">
      <c r="A37" s="148" t="inlineStr">
        <is>
          <t>2025-04-06</t>
        </is>
      </c>
      <c r="B37" s="148" t="inlineStr">
        <is>
          <t>SK20250406646</t>
        </is>
      </c>
      <c r="C37" s="147" t="inlineStr">
        <is>
          <t>收瑞丰金属加工费</t>
        </is>
      </c>
      <c r="D37" s="151" t="n">
        <v>18551.75</v>
      </c>
      <c r="E37" s="151" t="n">
        <v>0</v>
      </c>
      <c r="F37" s="151" t="n">
        <v>244962.53</v>
      </c>
    </row>
    <row r="38" ht="15" customHeight="1" s="96">
      <c r="A38" s="150" t="inlineStr">
        <is>
          <t>2025-04-21</t>
        </is>
      </c>
      <c r="B38" s="150" t="inlineStr">
        <is>
          <t>FK20250421286</t>
        </is>
      </c>
      <c r="C38" s="149" t="inlineStr">
        <is>
          <t>付AA喷砂厂喷砂委外加工</t>
        </is>
      </c>
      <c r="D38" s="152" t="n">
        <v>0</v>
      </c>
      <c r="E38" s="152" t="n">
        <v>2467.64</v>
      </c>
      <c r="F38" s="152" t="n">
        <v>242494.89</v>
      </c>
    </row>
    <row r="39" ht="15" customHeight="1" s="96">
      <c r="A39" s="148" t="inlineStr">
        <is>
          <t>2025-04-11</t>
        </is>
      </c>
      <c r="B39" s="148" t="inlineStr">
        <is>
          <t>FK20250411384</t>
        </is>
      </c>
      <c r="C39" s="147" t="inlineStr">
        <is>
          <t>付ZZ挂具厂挂具</t>
        </is>
      </c>
      <c r="D39" s="151" t="n">
        <v>0</v>
      </c>
      <c r="E39" s="151" t="n">
        <v>11537.83</v>
      </c>
      <c r="F39" s="151" t="n">
        <v>230957.06</v>
      </c>
    </row>
    <row r="40" ht="15" customHeight="1" s="96">
      <c r="A40" s="150" t="inlineStr">
        <is>
          <t>2025-04-01</t>
        </is>
      </c>
      <c r="B40" s="150" t="inlineStr">
        <is>
          <t>FK20250401329</t>
        </is>
      </c>
      <c r="C40" s="149" t="inlineStr">
        <is>
          <t>付BB抛光厂抛光委外加工</t>
        </is>
      </c>
      <c r="D40" s="152" t="n">
        <v>0</v>
      </c>
      <c r="E40" s="152" t="n">
        <v>1255.24</v>
      </c>
      <c r="F40" s="152" t="n">
        <v>229701.82</v>
      </c>
    </row>
    <row r="41" ht="15" customHeight="1" s="96">
      <c r="A41" s="148" t="inlineStr">
        <is>
          <t>2025-04-07</t>
        </is>
      </c>
      <c r="B41" s="148" t="inlineStr">
        <is>
          <t>FK20250407271</t>
        </is>
      </c>
      <c r="C41" s="147" t="inlineStr">
        <is>
          <t>付AA喷砂厂喷砂委外加工</t>
        </is>
      </c>
      <c r="D41" s="151" t="n">
        <v>0</v>
      </c>
      <c r="E41" s="151" t="n">
        <v>10642.24</v>
      </c>
      <c r="F41" s="151" t="n">
        <v>219059.58</v>
      </c>
    </row>
    <row r="42" ht="15" customHeight="1" s="96">
      <c r="A42" s="150" t="inlineStr">
        <is>
          <t>2025-05-01</t>
        </is>
      </c>
      <c r="B42" s="149" t="n"/>
      <c r="C42" s="149" t="inlineStr">
        <is>
          <t>期初余额</t>
        </is>
      </c>
      <c r="D42" s="152" t="n">
        <v>0</v>
      </c>
      <c r="E42" s="152" t="n">
        <v>0</v>
      </c>
      <c r="F42" s="152" t="n">
        <v>219059.58</v>
      </c>
    </row>
    <row r="43" ht="15" customHeight="1" s="96">
      <c r="A43" s="148" t="inlineStr">
        <is>
          <t>2025-05-02</t>
        </is>
      </c>
      <c r="B43" s="148" t="inlineStr">
        <is>
          <t>SK20250502866</t>
        </is>
      </c>
      <c r="C43" s="147" t="inlineStr">
        <is>
          <t>收鑫达精密加工费</t>
        </is>
      </c>
      <c r="D43" s="151" t="n">
        <v>16267.31</v>
      </c>
      <c r="E43" s="151" t="n">
        <v>0</v>
      </c>
      <c r="F43" s="151" t="n">
        <v>235326.89</v>
      </c>
    </row>
    <row r="44" ht="15" customHeight="1" s="96">
      <c r="A44" s="150" t="inlineStr">
        <is>
          <t>2025-05-27</t>
        </is>
      </c>
      <c r="B44" s="150" t="inlineStr">
        <is>
          <t>SK20250527805</t>
        </is>
      </c>
      <c r="C44" s="149" t="inlineStr">
        <is>
          <t>收博远五金加工费</t>
        </is>
      </c>
      <c r="D44" s="152" t="n">
        <v>9904.76</v>
      </c>
      <c r="E44" s="152" t="n">
        <v>0</v>
      </c>
      <c r="F44" s="152" t="n">
        <v>245231.65</v>
      </c>
    </row>
    <row r="45" ht="15" customHeight="1" s="96">
      <c r="A45" s="148" t="inlineStr">
        <is>
          <t>2025-05-10</t>
        </is>
      </c>
      <c r="B45" s="148" t="inlineStr">
        <is>
          <t>SK20250510652</t>
        </is>
      </c>
      <c r="C45" s="147" t="inlineStr">
        <is>
          <t>收宏盛五金加工费</t>
        </is>
      </c>
      <c r="D45" s="151" t="n">
        <v>18968.17</v>
      </c>
      <c r="E45" s="151" t="n">
        <v>0</v>
      </c>
      <c r="F45" s="151" t="n">
        <v>264199.82</v>
      </c>
    </row>
    <row r="46" ht="15" customHeight="1" s="96">
      <c r="A46" s="150" t="inlineStr">
        <is>
          <t>2025-05-08</t>
        </is>
      </c>
      <c r="B46" s="150" t="inlineStr">
        <is>
          <t>SK20250508690</t>
        </is>
      </c>
      <c r="C46" s="149" t="inlineStr">
        <is>
          <t>收永达五金厂加工费</t>
        </is>
      </c>
      <c r="D46" s="152" t="n">
        <v>19992.3</v>
      </c>
      <c r="E46" s="152" t="n">
        <v>0</v>
      </c>
      <c r="F46" s="152" t="n">
        <v>284192.12</v>
      </c>
    </row>
    <row r="47" ht="15" customHeight="1" s="96">
      <c r="A47" s="148" t="inlineStr">
        <is>
          <t>2025-05-02</t>
        </is>
      </c>
      <c r="B47" s="148" t="inlineStr">
        <is>
          <t>SK20250502384</t>
        </is>
      </c>
      <c r="C47" s="147" t="inlineStr">
        <is>
          <t>收鑫达精密加工费</t>
        </is>
      </c>
      <c r="D47" s="151" t="n">
        <v>10469.01</v>
      </c>
      <c r="E47" s="151" t="n">
        <v>0</v>
      </c>
      <c r="F47" s="151" t="n">
        <v>294661.13</v>
      </c>
    </row>
    <row r="48" ht="15" customHeight="1" s="96">
      <c r="A48" s="150" t="inlineStr">
        <is>
          <t>2025-05-06</t>
        </is>
      </c>
      <c r="B48" s="150" t="inlineStr">
        <is>
          <t>SK20250506193</t>
        </is>
      </c>
      <c r="C48" s="149" t="inlineStr">
        <is>
          <t>收宏盛五金加工费</t>
        </is>
      </c>
      <c r="D48" s="152" t="n">
        <v>13426.12</v>
      </c>
      <c r="E48" s="152" t="n">
        <v>0</v>
      </c>
      <c r="F48" s="152" t="n">
        <v>308087.25</v>
      </c>
    </row>
    <row r="49" ht="15" customHeight="1" s="96">
      <c r="A49" s="148" t="inlineStr">
        <is>
          <t>2025-05-16</t>
        </is>
      </c>
      <c r="B49" s="148" t="inlineStr">
        <is>
          <t>SK20250516786</t>
        </is>
      </c>
      <c r="C49" s="147" t="inlineStr">
        <is>
          <t>收天成铝材加工费</t>
        </is>
      </c>
      <c r="D49" s="151" t="n">
        <v>9350.27</v>
      </c>
      <c r="E49" s="151" t="n">
        <v>0</v>
      </c>
      <c r="F49" s="151" t="n">
        <v>317437.52</v>
      </c>
    </row>
    <row r="50" ht="15" customHeight="1" s="96">
      <c r="A50" s="150" t="inlineStr">
        <is>
          <t>2025-05-28</t>
        </is>
      </c>
      <c r="B50" s="150" t="inlineStr">
        <is>
          <t>FK20250528395</t>
        </is>
      </c>
      <c r="C50" s="149" t="inlineStr">
        <is>
          <t>付YY化工色粉/除油剂</t>
        </is>
      </c>
      <c r="D50" s="152" t="n">
        <v>0</v>
      </c>
      <c r="E50" s="152" t="n">
        <v>5282.15</v>
      </c>
      <c r="F50" s="152" t="n">
        <v>312155.37</v>
      </c>
    </row>
    <row r="51" ht="15" customHeight="1" s="96">
      <c r="A51" s="148" t="inlineStr">
        <is>
          <t>2025-05-22</t>
        </is>
      </c>
      <c r="B51" s="148" t="inlineStr">
        <is>
          <t>FK20250522137</t>
        </is>
      </c>
      <c r="C51" s="147" t="inlineStr">
        <is>
          <t>付AA喷砂厂喷砂委外加工</t>
        </is>
      </c>
      <c r="D51" s="151" t="n">
        <v>0</v>
      </c>
      <c r="E51" s="151" t="n">
        <v>12296.71</v>
      </c>
      <c r="F51" s="151" t="n">
        <v>299858.66</v>
      </c>
    </row>
    <row r="52" ht="15" customHeight="1" s="96">
      <c r="A52" s="150" t="inlineStr">
        <is>
          <t>2025-05-15</t>
        </is>
      </c>
      <c r="B52" s="150" t="inlineStr">
        <is>
          <t>FK20250515218</t>
        </is>
      </c>
      <c r="C52" s="149" t="inlineStr">
        <is>
          <t>付XX化工三酸/片碱/亚钠</t>
        </is>
      </c>
      <c r="D52" s="152" t="n">
        <v>0</v>
      </c>
      <c r="E52" s="152" t="n">
        <v>5060.5</v>
      </c>
      <c r="F52" s="152" t="n">
        <v>294798.16</v>
      </c>
    </row>
    <row r="53" ht="15" customHeight="1" s="96">
      <c r="A53" s="148" t="inlineStr">
        <is>
          <t>2025-05-17</t>
        </is>
      </c>
      <c r="B53" s="148" t="inlineStr">
        <is>
          <t>FK20250517740</t>
        </is>
      </c>
      <c r="C53" s="147" t="inlineStr">
        <is>
          <t>付ZZ挂具厂挂具</t>
        </is>
      </c>
      <c r="D53" s="151" t="n">
        <v>0</v>
      </c>
      <c r="E53" s="151" t="n">
        <v>9528.190000000001</v>
      </c>
      <c r="F53" s="151" t="n">
        <v>285269.97</v>
      </c>
    </row>
    <row r="54" ht="15" customHeight="1" s="96">
      <c r="A54" s="150" t="inlineStr">
        <is>
          <t>2025-05-15</t>
        </is>
      </c>
      <c r="B54" s="150" t="inlineStr">
        <is>
          <t>FK20250515234</t>
        </is>
      </c>
      <c r="C54" s="149" t="inlineStr">
        <is>
          <t>付XX化工三酸/片碱/亚钠</t>
        </is>
      </c>
      <c r="D54" s="152" t="n">
        <v>0</v>
      </c>
      <c r="E54" s="152" t="n">
        <v>3451.59</v>
      </c>
      <c r="F54" s="152" t="n">
        <v>281818.38</v>
      </c>
    </row>
    <row r="55" ht="15" customHeight="1" s="96">
      <c r="A55" s="148" t="inlineStr">
        <is>
          <t>2025-05-10</t>
        </is>
      </c>
      <c r="B55" s="148" t="inlineStr">
        <is>
          <t>FK20250510224</t>
        </is>
      </c>
      <c r="C55" s="147" t="inlineStr">
        <is>
          <t>付AA喷砂厂喷砂委外加工</t>
        </is>
      </c>
      <c r="D55" s="151" t="n">
        <v>0</v>
      </c>
      <c r="E55" s="151" t="n">
        <v>13272.28</v>
      </c>
      <c r="F55" s="151" t="n">
        <v>268546.1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0">
    <tabColor rgb="FFFFC000"/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8" customWidth="1" style="95" min="2" max="2"/>
    <col width="10" customWidth="1" style="95" min="3" max="3"/>
    <col width="16" customWidth="1" style="95" min="4" max="4"/>
    <col width="8" customWidth="1" style="95" min="5" max="5"/>
    <col width="6" customWidth="1" style="95" min="6" max="6"/>
    <col width="10" customWidth="1" style="95" min="7" max="7"/>
    <col width="12" customWidth="1" style="95" min="8" max="8"/>
    <col width="10" customWidth="1" style="95" min="9" max="9"/>
  </cols>
  <sheetData>
    <row r="1" ht="15" customHeight="1" s="96">
      <c r="A1" s="155" t="inlineStr">
        <is>
          <t>委外加工记录（喷砂/拉丝/抛光委外）</t>
        </is>
      </c>
    </row>
    <row r="2" ht="15" customHeight="1" s="96">
      <c r="A2" s="124" t="inlineStr">
        <is>
          <t>日期</t>
        </is>
      </c>
      <c r="B2" s="124" t="inlineStr">
        <is>
          <t>单据号</t>
        </is>
      </c>
      <c r="C2" s="124" t="inlineStr">
        <is>
          <t>工序</t>
        </is>
      </c>
      <c r="D2" s="124" t="inlineStr">
        <is>
          <t>委外厂家</t>
        </is>
      </c>
      <c r="E2" s="124" t="inlineStr">
        <is>
          <t>数量</t>
        </is>
      </c>
      <c r="F2" s="124" t="inlineStr">
        <is>
          <t>单位</t>
        </is>
      </c>
      <c r="G2" s="124" t="inlineStr">
        <is>
          <t>单价(元)</t>
        </is>
      </c>
      <c r="H2" s="124" t="inlineStr">
        <is>
          <t>金额(元)</t>
        </is>
      </c>
      <c r="I2" s="124" t="inlineStr">
        <is>
          <t>状态</t>
        </is>
      </c>
    </row>
    <row r="3" ht="15" customHeight="1" s="96">
      <c r="A3" s="148" t="inlineStr">
        <is>
          <t>2025-03-20</t>
        </is>
      </c>
      <c r="B3" s="148" t="inlineStr">
        <is>
          <t>WG20250320318</t>
        </is>
      </c>
      <c r="C3" s="147" t="inlineStr">
        <is>
          <t>拉丝</t>
        </is>
      </c>
      <c r="D3" s="148" t="inlineStr">
        <is>
          <t>AA喷砂厂</t>
        </is>
      </c>
      <c r="E3" s="147" t="n">
        <v>202</v>
      </c>
      <c r="F3" s="147" t="inlineStr">
        <is>
          <t>件</t>
        </is>
      </c>
      <c r="G3" s="151" t="n">
        <v>0.89</v>
      </c>
      <c r="H3" s="151" t="n">
        <v>179.36</v>
      </c>
      <c r="I3" s="147" t="inlineStr">
        <is>
          <t>已完成</t>
        </is>
      </c>
    </row>
    <row r="4" ht="15" customHeight="1" s="96">
      <c r="A4" s="150" t="inlineStr">
        <is>
          <t>2025-03-17</t>
        </is>
      </c>
      <c r="B4" s="150" t="inlineStr">
        <is>
          <t>WG20250317170</t>
        </is>
      </c>
      <c r="C4" s="149" t="inlineStr">
        <is>
          <t>抛光</t>
        </is>
      </c>
      <c r="D4" s="150" t="inlineStr">
        <is>
          <t>BB抛光厂</t>
        </is>
      </c>
      <c r="E4" s="149" t="n">
        <v>235</v>
      </c>
      <c r="F4" s="149" t="inlineStr">
        <is>
          <t>件</t>
        </is>
      </c>
      <c r="G4" s="152" t="n">
        <v>1.92</v>
      </c>
      <c r="H4" s="152" t="n">
        <v>451.18</v>
      </c>
      <c r="I4" s="149" t="inlineStr">
        <is>
          <t>已完成</t>
        </is>
      </c>
    </row>
    <row r="5" ht="15" customHeight="1" s="96">
      <c r="A5" s="148" t="inlineStr">
        <is>
          <t>2025-03-08</t>
        </is>
      </c>
      <c r="B5" s="148" t="inlineStr">
        <is>
          <t>WG20250308953</t>
        </is>
      </c>
      <c r="C5" s="147" t="inlineStr">
        <is>
          <t>抛光</t>
        </is>
      </c>
      <c r="D5" s="148" t="inlineStr">
        <is>
          <t>BB抛光厂</t>
        </is>
      </c>
      <c r="E5" s="147" t="n">
        <v>391</v>
      </c>
      <c r="F5" s="147" t="inlineStr">
        <is>
          <t>件</t>
        </is>
      </c>
      <c r="G5" s="151" t="n">
        <v>0.99</v>
      </c>
      <c r="H5" s="151" t="n">
        <v>386.81</v>
      </c>
      <c r="I5" s="147" t="inlineStr">
        <is>
          <t>已完成</t>
        </is>
      </c>
    </row>
    <row r="6" ht="15" customHeight="1" s="96">
      <c r="A6" s="150" t="inlineStr">
        <is>
          <t>2025-03-18</t>
        </is>
      </c>
      <c r="B6" s="150" t="inlineStr">
        <is>
          <t>WG20250318926</t>
        </is>
      </c>
      <c r="C6" s="149" t="inlineStr">
        <is>
          <t>拉丝</t>
        </is>
      </c>
      <c r="D6" s="150" t="inlineStr">
        <is>
          <t>AA喷砂厂</t>
        </is>
      </c>
      <c r="E6" s="149" t="n">
        <v>409</v>
      </c>
      <c r="F6" s="149" t="inlineStr">
        <is>
          <t>件</t>
        </is>
      </c>
      <c r="G6" s="152" t="n">
        <v>1.53</v>
      </c>
      <c r="H6" s="152" t="n">
        <v>627.41</v>
      </c>
      <c r="I6" s="149" t="inlineStr">
        <is>
          <t>已完成</t>
        </is>
      </c>
    </row>
    <row r="7" ht="15" customHeight="1" s="96">
      <c r="A7" s="148" t="inlineStr">
        <is>
          <t>2025-03-21</t>
        </is>
      </c>
      <c r="B7" s="148" t="inlineStr">
        <is>
          <t>WG20250321667</t>
        </is>
      </c>
      <c r="C7" s="147" t="inlineStr">
        <is>
          <t>拉丝</t>
        </is>
      </c>
      <c r="D7" s="148" t="inlineStr">
        <is>
          <t>AA喷砂厂</t>
        </is>
      </c>
      <c r="E7" s="147" t="n">
        <v>108</v>
      </c>
      <c r="F7" s="147" t="inlineStr">
        <is>
          <t>件</t>
        </is>
      </c>
      <c r="G7" s="151" t="n">
        <v>1.6</v>
      </c>
      <c r="H7" s="151" t="n">
        <v>172.96</v>
      </c>
      <c r="I7" s="147" t="inlineStr">
        <is>
          <t>已完成</t>
        </is>
      </c>
    </row>
    <row r="8" ht="15" customHeight="1" s="96">
      <c r="A8" s="150" t="inlineStr">
        <is>
          <t>2025-03-10</t>
        </is>
      </c>
      <c r="B8" s="150" t="inlineStr">
        <is>
          <t>WG20250310237</t>
        </is>
      </c>
      <c r="C8" s="149" t="inlineStr">
        <is>
          <t>拉丝</t>
        </is>
      </c>
      <c r="D8" s="150" t="inlineStr">
        <is>
          <t>AA喷砂厂</t>
        </is>
      </c>
      <c r="E8" s="149" t="n">
        <v>206</v>
      </c>
      <c r="F8" s="149" t="inlineStr">
        <is>
          <t>件</t>
        </is>
      </c>
      <c r="G8" s="152" t="n">
        <v>1.93</v>
      </c>
      <c r="H8" s="152" t="n">
        <v>396.9</v>
      </c>
      <c r="I8" s="149" t="inlineStr">
        <is>
          <t>已完成</t>
        </is>
      </c>
    </row>
    <row r="9" ht="15" customHeight="1" s="96">
      <c r="A9" s="148" t="inlineStr">
        <is>
          <t>2025-04-25</t>
        </is>
      </c>
      <c r="B9" s="148" t="inlineStr">
        <is>
          <t>WG20250425126</t>
        </is>
      </c>
      <c r="C9" s="147" t="inlineStr">
        <is>
          <t>喷砂</t>
        </is>
      </c>
      <c r="D9" s="148" t="inlineStr">
        <is>
          <t>AA喷砂厂</t>
        </is>
      </c>
      <c r="E9" s="147" t="n">
        <v>418</v>
      </c>
      <c r="F9" s="147" t="inlineStr">
        <is>
          <t>件</t>
        </is>
      </c>
      <c r="G9" s="151" t="n">
        <v>0.93</v>
      </c>
      <c r="H9" s="151" t="n">
        <v>388.62</v>
      </c>
      <c r="I9" s="147" t="inlineStr">
        <is>
          <t>已完成</t>
        </is>
      </c>
    </row>
    <row r="10" ht="15" customHeight="1" s="96">
      <c r="A10" s="150" t="inlineStr">
        <is>
          <t>2025-04-10</t>
        </is>
      </c>
      <c r="B10" s="150" t="inlineStr">
        <is>
          <t>WG20250410484</t>
        </is>
      </c>
      <c r="C10" s="149" t="inlineStr">
        <is>
          <t>拉丝</t>
        </is>
      </c>
      <c r="D10" s="150" t="inlineStr">
        <is>
          <t>AA喷砂厂</t>
        </is>
      </c>
      <c r="E10" s="149" t="n">
        <v>793</v>
      </c>
      <c r="F10" s="149" t="inlineStr">
        <is>
          <t>件</t>
        </is>
      </c>
      <c r="G10" s="152" t="n">
        <v>1.89</v>
      </c>
      <c r="H10" s="152" t="n">
        <v>1498.48</v>
      </c>
      <c r="I10" s="149" t="inlineStr">
        <is>
          <t>已完成</t>
        </is>
      </c>
    </row>
    <row r="11" ht="15" customHeight="1" s="96">
      <c r="A11" s="148" t="inlineStr">
        <is>
          <t>2025-04-13</t>
        </is>
      </c>
      <c r="B11" s="148" t="inlineStr">
        <is>
          <t>WG20250413807</t>
        </is>
      </c>
      <c r="C11" s="147" t="inlineStr">
        <is>
          <t>拉丝</t>
        </is>
      </c>
      <c r="D11" s="148" t="inlineStr">
        <is>
          <t>AA喷砂厂</t>
        </is>
      </c>
      <c r="E11" s="147" t="n">
        <v>303</v>
      </c>
      <c r="F11" s="147" t="inlineStr">
        <is>
          <t>件</t>
        </is>
      </c>
      <c r="G11" s="151" t="n">
        <v>0.89</v>
      </c>
      <c r="H11" s="151" t="n">
        <v>270.03</v>
      </c>
      <c r="I11" s="147" t="inlineStr">
        <is>
          <t>已完成</t>
        </is>
      </c>
    </row>
    <row r="12" ht="15" customHeight="1" s="96">
      <c r="A12" s="150" t="inlineStr">
        <is>
          <t>2025-05-16</t>
        </is>
      </c>
      <c r="B12" s="150" t="inlineStr">
        <is>
          <t>WG20250516379</t>
        </is>
      </c>
      <c r="C12" s="149" t="inlineStr">
        <is>
          <t>拉丝</t>
        </is>
      </c>
      <c r="D12" s="150" t="inlineStr">
        <is>
          <t>AA喷砂厂</t>
        </is>
      </c>
      <c r="E12" s="149" t="n">
        <v>398</v>
      </c>
      <c r="F12" s="149" t="inlineStr">
        <is>
          <t>件</t>
        </is>
      </c>
      <c r="G12" s="152" t="n">
        <v>1.41</v>
      </c>
      <c r="H12" s="152" t="n">
        <v>561.4400000000001</v>
      </c>
      <c r="I12" s="149" t="inlineStr">
        <is>
          <t>已完成</t>
        </is>
      </c>
    </row>
    <row r="13" ht="15" customHeight="1" s="96">
      <c r="A13" s="148" t="inlineStr">
        <is>
          <t>2025-05-14</t>
        </is>
      </c>
      <c r="B13" s="148" t="inlineStr">
        <is>
          <t>WG20250514664</t>
        </is>
      </c>
      <c r="C13" s="147" t="inlineStr">
        <is>
          <t>抛光</t>
        </is>
      </c>
      <c r="D13" s="148" t="inlineStr">
        <is>
          <t>BB抛光厂</t>
        </is>
      </c>
      <c r="E13" s="147" t="n">
        <v>583</v>
      </c>
      <c r="F13" s="147" t="inlineStr">
        <is>
          <t>件</t>
        </is>
      </c>
      <c r="G13" s="151" t="n">
        <v>1.09</v>
      </c>
      <c r="H13" s="151" t="n">
        <v>636.91</v>
      </c>
      <c r="I13" s="147" t="inlineStr">
        <is>
          <t>已完成</t>
        </is>
      </c>
    </row>
    <row r="14" ht="15" customHeight="1" s="96">
      <c r="A14" s="150" t="inlineStr">
        <is>
          <t>2025-05-05</t>
        </is>
      </c>
      <c r="B14" s="150" t="inlineStr">
        <is>
          <t>WG20250505620</t>
        </is>
      </c>
      <c r="C14" s="149" t="inlineStr">
        <is>
          <t>抛光</t>
        </is>
      </c>
      <c r="D14" s="150" t="inlineStr">
        <is>
          <t>BB抛光厂</t>
        </is>
      </c>
      <c r="E14" s="149" t="n">
        <v>295</v>
      </c>
      <c r="F14" s="149" t="inlineStr">
        <is>
          <t>件</t>
        </is>
      </c>
      <c r="G14" s="152" t="n">
        <v>1.91</v>
      </c>
      <c r="H14" s="152" t="n">
        <v>562.34</v>
      </c>
      <c r="I14" s="149" t="inlineStr">
        <is>
          <t>已完成</t>
        </is>
      </c>
    </row>
    <row r="15" ht="15" customHeight="1" s="96">
      <c r="A15" s="148" t="inlineStr">
        <is>
          <t>2025-05-24</t>
        </is>
      </c>
      <c r="B15" s="148" t="inlineStr">
        <is>
          <t>WG20250524891</t>
        </is>
      </c>
      <c r="C15" s="147" t="inlineStr">
        <is>
          <t>喷砂</t>
        </is>
      </c>
      <c r="D15" s="148" t="inlineStr">
        <is>
          <t>AA喷砂厂</t>
        </is>
      </c>
      <c r="E15" s="147" t="n">
        <v>984</v>
      </c>
      <c r="F15" s="147" t="inlineStr">
        <is>
          <t>件</t>
        </is>
      </c>
      <c r="G15" s="151" t="n">
        <v>0.88</v>
      </c>
      <c r="H15" s="151" t="n">
        <v>869.63</v>
      </c>
      <c r="I15" s="147" t="inlineStr">
        <is>
          <t>已完成</t>
        </is>
      </c>
    </row>
    <row r="16" ht="15" customHeight="1" s="96">
      <c r="A16" s="180" t="inlineStr">
        <is>
          <t>合计</t>
        </is>
      </c>
      <c r="H16" s="181">
        <f>SUM(H3:H15)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0">
    <tabColor rgb="FF00B050"/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4" customWidth="1" style="95" min="1" max="1"/>
    <col width="12" customWidth="1" style="95" min="2" max="2"/>
    <col width="6" customWidth="1" style="95" min="3" max="3"/>
    <col width="12" customWidth="1" style="95" min="4" max="9"/>
  </cols>
  <sheetData>
    <row r="1" ht="15" customHeight="1" s="96">
      <c r="A1" s="155" t="inlineStr">
        <is>
          <t>材料库存管理</t>
        </is>
      </c>
    </row>
    <row r="2" ht="15" customHeight="1" s="96">
      <c r="A2" s="124" t="inlineStr">
        <is>
          <t>材料名称</t>
        </is>
      </c>
      <c r="B2" s="124" t="inlineStr">
        <is>
          <t>规格</t>
        </is>
      </c>
      <c r="C2" s="124" t="inlineStr">
        <is>
          <t>单位</t>
        </is>
      </c>
      <c r="D2" s="124" t="inlineStr">
        <is>
          <t>期初库存</t>
        </is>
      </c>
      <c r="E2" s="124" t="inlineStr">
        <is>
          <t>本月入库</t>
        </is>
      </c>
      <c r="F2" s="124" t="inlineStr">
        <is>
          <t>本月出库</t>
        </is>
      </c>
      <c r="G2" s="124" t="inlineStr">
        <is>
          <t>期末库存</t>
        </is>
      </c>
      <c r="H2" s="124" t="inlineStr">
        <is>
          <t>安全库存</t>
        </is>
      </c>
      <c r="I2" s="124" t="inlineStr">
        <is>
          <t>库存预警</t>
        </is>
      </c>
    </row>
    <row r="3" ht="15" customHeight="1" s="96">
      <c r="A3" s="147" t="inlineStr">
        <is>
          <t>硫酸</t>
        </is>
      </c>
      <c r="B3" s="147" t="inlineStr">
        <is>
          <t>浓度98%</t>
        </is>
      </c>
      <c r="C3" s="148" t="inlineStr">
        <is>
          <t>kg</t>
        </is>
      </c>
      <c r="D3" s="151" t="n">
        <v>800</v>
      </c>
      <c r="E3" s="151" t="n">
        <v>635</v>
      </c>
      <c r="F3" s="151" t="n">
        <v>555</v>
      </c>
      <c r="G3" s="182">
        <f>D3+E3-F3</f>
        <v/>
      </c>
      <c r="H3" s="151" t="n">
        <v>500</v>
      </c>
      <c r="I3" s="147">
        <f>IF(G3&lt;H3,"低库存!","正常")</f>
        <v/>
      </c>
    </row>
    <row r="4" ht="15" customHeight="1" s="96">
      <c r="A4" s="149" t="inlineStr">
        <is>
          <t>硝酸</t>
        </is>
      </c>
      <c r="B4" s="149" t="inlineStr">
        <is>
          <t>浓度65%</t>
        </is>
      </c>
      <c r="C4" s="150" t="inlineStr">
        <is>
          <t>kg</t>
        </is>
      </c>
      <c r="D4" s="152" t="n">
        <v>500</v>
      </c>
      <c r="E4" s="152" t="n">
        <v>535</v>
      </c>
      <c r="F4" s="152" t="n">
        <v>639</v>
      </c>
      <c r="G4" s="183">
        <f>D4+E4-F4</f>
        <v/>
      </c>
      <c r="H4" s="152" t="n">
        <v>300</v>
      </c>
      <c r="I4" s="149">
        <f>IF(G4&lt;H4,"低库存!","正常")</f>
        <v/>
      </c>
    </row>
    <row r="5" ht="15" customHeight="1" s="96">
      <c r="A5" s="147" t="inlineStr">
        <is>
          <t>铬酸</t>
        </is>
      </c>
      <c r="B5" s="147" t="inlineStr">
        <is>
          <t>工业级</t>
        </is>
      </c>
      <c r="C5" s="148" t="inlineStr">
        <is>
          <t>kg</t>
        </is>
      </c>
      <c r="D5" s="151" t="n">
        <v>350</v>
      </c>
      <c r="E5" s="151" t="n">
        <v>890</v>
      </c>
      <c r="F5" s="151" t="n">
        <v>583</v>
      </c>
      <c r="G5" s="182">
        <f>D5+E5-F5</f>
        <v/>
      </c>
      <c r="H5" s="151" t="n">
        <v>200</v>
      </c>
      <c r="I5" s="147">
        <f>IF(G5&lt;H5,"低库存!","正常")</f>
        <v/>
      </c>
    </row>
    <row r="6" ht="15" customHeight="1" s="96">
      <c r="A6" s="149" t="inlineStr">
        <is>
          <t>片碱</t>
        </is>
      </c>
      <c r="B6" s="149" t="inlineStr">
        <is>
          <t>片状99%</t>
        </is>
      </c>
      <c r="C6" s="150" t="inlineStr">
        <is>
          <t>kg</t>
        </is>
      </c>
      <c r="D6" s="152" t="n">
        <v>600</v>
      </c>
      <c r="E6" s="152" t="n">
        <v>841</v>
      </c>
      <c r="F6" s="152" t="n">
        <v>826</v>
      </c>
      <c r="G6" s="183">
        <f>D6+E6-F6</f>
        <v/>
      </c>
      <c r="H6" s="152" t="n">
        <v>300</v>
      </c>
      <c r="I6" s="149">
        <f>IF(G6&lt;H6,"低库存!","正常")</f>
        <v/>
      </c>
    </row>
    <row r="7" ht="15" customHeight="1" s="96">
      <c r="A7" s="147" t="inlineStr">
        <is>
          <t>亚硝酸钠</t>
        </is>
      </c>
      <c r="B7" s="147" t="inlineStr">
        <is>
          <t>工业级</t>
        </is>
      </c>
      <c r="C7" s="148" t="inlineStr">
        <is>
          <t>kg</t>
        </is>
      </c>
      <c r="D7" s="151" t="n">
        <v>400</v>
      </c>
      <c r="E7" s="151" t="n">
        <v>547</v>
      </c>
      <c r="F7" s="151" t="n">
        <v>724</v>
      </c>
      <c r="G7" s="182">
        <f>D7+E7-F7</f>
        <v/>
      </c>
      <c r="H7" s="151" t="n">
        <v>200</v>
      </c>
      <c r="I7" s="147">
        <f>IF(G7&lt;H7,"低库存!","正常")</f>
        <v/>
      </c>
    </row>
    <row r="8" ht="15" customHeight="1" s="96">
      <c r="A8" s="149" t="inlineStr">
        <is>
          <t>黑色色粉</t>
        </is>
      </c>
      <c r="B8" s="149" t="inlineStr">
        <is>
          <t>氧化专用</t>
        </is>
      </c>
      <c r="C8" s="150" t="inlineStr">
        <is>
          <t>kg</t>
        </is>
      </c>
      <c r="D8" s="152" t="n">
        <v>80</v>
      </c>
      <c r="E8" s="152" t="n">
        <v>104</v>
      </c>
      <c r="F8" s="152" t="n">
        <v>73</v>
      </c>
      <c r="G8" s="183">
        <f>D8+E8-F8</f>
        <v/>
      </c>
      <c r="H8" s="152" t="n">
        <v>50</v>
      </c>
      <c r="I8" s="149">
        <f>IF(G8&lt;H8,"低库存!","正常")</f>
        <v/>
      </c>
    </row>
    <row r="9" ht="15" customHeight="1" s="96">
      <c r="A9" s="147" t="inlineStr">
        <is>
          <t>银白色色粉</t>
        </is>
      </c>
      <c r="B9" s="147" t="inlineStr">
        <is>
          <t>氧化专用</t>
        </is>
      </c>
      <c r="C9" s="148" t="inlineStr">
        <is>
          <t>kg</t>
        </is>
      </c>
      <c r="D9" s="151" t="n">
        <v>80</v>
      </c>
      <c r="E9" s="151" t="n">
        <v>78</v>
      </c>
      <c r="F9" s="151" t="n">
        <v>70</v>
      </c>
      <c r="G9" s="182">
        <f>D9+E9-F9</f>
        <v/>
      </c>
      <c r="H9" s="151" t="n">
        <v>50</v>
      </c>
      <c r="I9" s="147">
        <f>IF(G9&lt;H9,"低库存!","正常")</f>
        <v/>
      </c>
    </row>
    <row r="10" ht="15" customHeight="1" s="96">
      <c r="A10" s="149" t="inlineStr">
        <is>
          <t>香槟色色粉</t>
        </is>
      </c>
      <c r="B10" s="149" t="inlineStr">
        <is>
          <t>氧化专用</t>
        </is>
      </c>
      <c r="C10" s="150" t="inlineStr">
        <is>
          <t>kg</t>
        </is>
      </c>
      <c r="D10" s="152" t="n">
        <v>80</v>
      </c>
      <c r="E10" s="152" t="n">
        <v>72</v>
      </c>
      <c r="F10" s="152" t="n">
        <v>47</v>
      </c>
      <c r="G10" s="183">
        <f>D10+E10-F10</f>
        <v/>
      </c>
      <c r="H10" s="152" t="n">
        <v>50</v>
      </c>
      <c r="I10" s="149">
        <f>IF(G10&lt;H10,"低库存!","正常")</f>
        <v/>
      </c>
    </row>
    <row r="11" ht="15" customHeight="1" s="96">
      <c r="A11" s="147" t="inlineStr">
        <is>
          <t>蓝色色粉</t>
        </is>
      </c>
      <c r="B11" s="147" t="inlineStr">
        <is>
          <t>氧化专用</t>
        </is>
      </c>
      <c r="C11" s="148" t="inlineStr">
        <is>
          <t>kg</t>
        </is>
      </c>
      <c r="D11" s="151" t="n">
        <v>80</v>
      </c>
      <c r="E11" s="151" t="n">
        <v>86</v>
      </c>
      <c r="F11" s="151" t="n">
        <v>66</v>
      </c>
      <c r="G11" s="182">
        <f>D11+E11-F11</f>
        <v/>
      </c>
      <c r="H11" s="151" t="n">
        <v>50</v>
      </c>
      <c r="I11" s="147">
        <f>IF(G11&lt;H11,"低库存!","正常")</f>
        <v/>
      </c>
    </row>
    <row r="12" ht="15" customHeight="1" s="96">
      <c r="A12" s="149" t="inlineStr">
        <is>
          <t>除油剂</t>
        </is>
      </c>
      <c r="B12" s="149" t="inlineStr">
        <is>
          <t>工业级</t>
        </is>
      </c>
      <c r="C12" s="150" t="inlineStr">
        <is>
          <t>L</t>
        </is>
      </c>
      <c r="D12" s="152" t="n">
        <v>150</v>
      </c>
      <c r="E12" s="152" t="n">
        <v>143</v>
      </c>
      <c r="F12" s="152" t="n">
        <v>106</v>
      </c>
      <c r="G12" s="183">
        <f>D12+E12-F12</f>
        <v/>
      </c>
      <c r="H12" s="152" t="n">
        <v>100</v>
      </c>
      <c r="I12" s="149">
        <f>IF(G12&lt;H12,"低库存!","正常")</f>
        <v/>
      </c>
    </row>
    <row r="13" ht="15" customHeight="1" s="96">
      <c r="A13" s="147" t="inlineStr">
        <is>
          <t>挂具</t>
        </is>
      </c>
      <c r="B13" s="147" t="inlineStr">
        <is>
          <t>铝合金</t>
        </is>
      </c>
      <c r="C13" s="147" t="inlineStr">
        <is>
          <t>套</t>
        </is>
      </c>
      <c r="D13" s="151" t="n">
        <v>40</v>
      </c>
      <c r="E13" s="151" t="n">
        <v>30</v>
      </c>
      <c r="F13" s="151" t="n">
        <v>23</v>
      </c>
      <c r="G13" s="182">
        <f>D13+E13-F13</f>
        <v/>
      </c>
      <c r="H13" s="151" t="n">
        <v>20</v>
      </c>
      <c r="I13" s="147">
        <f>IF(G13&lt;H13,"低库存!","正常")</f>
        <v/>
      </c>
    </row>
  </sheetData>
  <conditionalFormatting sqref="I3:I13">
    <cfRule type="cellIs" rank="0" priority="2" equalAverage="0" operator="equal" aboveAverage="0" dxfId="4" text="" percent="0" bottom="0">
      <formula>"低库存!"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0">
    <tabColor rgb="FF70AD47"/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0" customWidth="1" style="95" min="2" max="7"/>
    <col width="12" customWidth="1" style="95" min="8" max="8"/>
    <col width="14" customWidth="1" style="95" min="9" max="9"/>
    <col width="10" customWidth="1" style="95" min="10" max="10"/>
    <col width="12" customWidth="1" style="95" min="11" max="11"/>
  </cols>
  <sheetData>
    <row r="1" ht="15" customHeight="1" s="96">
      <c r="A1" s="124" t="inlineStr">
        <is>
          <t>发放日期</t>
        </is>
      </c>
      <c r="B1" s="124" t="inlineStr">
        <is>
          <t>月份</t>
        </is>
      </c>
      <c r="C1" s="124" t="inlineStr">
        <is>
          <t>姓名</t>
        </is>
      </c>
      <c r="D1" s="124" t="inlineStr">
        <is>
          <t>部门</t>
        </is>
      </c>
      <c r="E1" s="124" t="inlineStr">
        <is>
          <t>岗位</t>
        </is>
      </c>
      <c r="F1" s="124" t="inlineStr">
        <is>
          <t>基本工资</t>
        </is>
      </c>
      <c r="G1" s="124" t="inlineStr">
        <is>
          <t>加班费</t>
        </is>
      </c>
      <c r="H1" s="124" t="inlineStr">
        <is>
          <t>应发合计</t>
        </is>
      </c>
      <c r="I1" s="124" t="inlineStr">
        <is>
          <t>社保公积金(个人)</t>
        </is>
      </c>
      <c r="J1" s="124" t="inlineStr">
        <is>
          <t>个税</t>
        </is>
      </c>
      <c r="K1" s="124" t="inlineStr">
        <is>
          <t>实发工资</t>
        </is>
      </c>
    </row>
    <row r="2" ht="15" customHeight="1" s="96">
      <c r="A2" s="148" t="inlineStr">
        <is>
          <t>2025-03-10</t>
        </is>
      </c>
      <c r="B2" s="148" t="inlineStr">
        <is>
          <t>2025-03</t>
        </is>
      </c>
      <c r="C2" s="147" t="inlineStr">
        <is>
          <t>张三</t>
        </is>
      </c>
      <c r="D2" s="147" t="inlineStr">
        <is>
          <t>生产部</t>
        </is>
      </c>
      <c r="E2" s="147" t="inlineStr">
        <is>
          <t>操作工</t>
        </is>
      </c>
      <c r="F2" s="151" t="n">
        <v>3800</v>
      </c>
      <c r="G2" s="151" t="n">
        <v>397</v>
      </c>
      <c r="H2" s="151" t="n">
        <v>4197</v>
      </c>
      <c r="I2" s="151" t="n">
        <v>399</v>
      </c>
      <c r="J2" s="151" t="n">
        <v>0</v>
      </c>
      <c r="K2" s="151" t="n">
        <v>3798</v>
      </c>
    </row>
    <row r="3" ht="15" customHeight="1" s="96">
      <c r="A3" s="150" t="inlineStr">
        <is>
          <t>2025-03-10</t>
        </is>
      </c>
      <c r="B3" s="150" t="inlineStr">
        <is>
          <t>2025-03</t>
        </is>
      </c>
      <c r="C3" s="149" t="inlineStr">
        <is>
          <t>李四</t>
        </is>
      </c>
      <c r="D3" s="149" t="inlineStr">
        <is>
          <t>生产部</t>
        </is>
      </c>
      <c r="E3" s="149" t="inlineStr">
        <is>
          <t>操作工</t>
        </is>
      </c>
      <c r="F3" s="152" t="n">
        <v>4000</v>
      </c>
      <c r="G3" s="152" t="n">
        <v>1335</v>
      </c>
      <c r="H3" s="152" t="n">
        <v>5335</v>
      </c>
      <c r="I3" s="152" t="n">
        <v>420</v>
      </c>
      <c r="J3" s="152" t="n">
        <v>0</v>
      </c>
      <c r="K3" s="152" t="n">
        <v>4915</v>
      </c>
    </row>
    <row r="4" ht="15" customHeight="1" s="96">
      <c r="A4" s="148" t="inlineStr">
        <is>
          <t>2025-03-10</t>
        </is>
      </c>
      <c r="B4" s="148" t="inlineStr">
        <is>
          <t>2025-03</t>
        </is>
      </c>
      <c r="C4" s="147" t="inlineStr">
        <is>
          <t>王五</t>
        </is>
      </c>
      <c r="D4" s="147" t="inlineStr">
        <is>
          <t>生产部</t>
        </is>
      </c>
      <c r="E4" s="147" t="inlineStr">
        <is>
          <t>班长</t>
        </is>
      </c>
      <c r="F4" s="151" t="n">
        <v>4500</v>
      </c>
      <c r="G4" s="151" t="n">
        <v>1114</v>
      </c>
      <c r="H4" s="151" t="n">
        <v>5614</v>
      </c>
      <c r="I4" s="151" t="n">
        <v>472.5</v>
      </c>
      <c r="J4" s="151" t="n">
        <v>4.25</v>
      </c>
      <c r="K4" s="151" t="n">
        <v>5137.25</v>
      </c>
    </row>
    <row r="5" ht="15" customHeight="1" s="96">
      <c r="A5" s="150" t="inlineStr">
        <is>
          <t>2025-03-10</t>
        </is>
      </c>
      <c r="B5" s="150" t="inlineStr">
        <is>
          <t>2025-03</t>
        </is>
      </c>
      <c r="C5" s="149" t="inlineStr">
        <is>
          <t>赵六</t>
        </is>
      </c>
      <c r="D5" s="149" t="inlineStr">
        <is>
          <t>生产部</t>
        </is>
      </c>
      <c r="E5" s="149" t="inlineStr">
        <is>
          <t>操作工</t>
        </is>
      </c>
      <c r="F5" s="152" t="n">
        <v>3800</v>
      </c>
      <c r="G5" s="152" t="n">
        <v>233</v>
      </c>
      <c r="H5" s="152" t="n">
        <v>4033</v>
      </c>
      <c r="I5" s="152" t="n">
        <v>399</v>
      </c>
      <c r="J5" s="152" t="n">
        <v>0</v>
      </c>
      <c r="K5" s="152" t="n">
        <v>3634</v>
      </c>
    </row>
    <row r="6" ht="15" customHeight="1" s="96">
      <c r="A6" s="148" t="inlineStr">
        <is>
          <t>2025-03-10</t>
        </is>
      </c>
      <c r="B6" s="148" t="inlineStr">
        <is>
          <t>2025-03</t>
        </is>
      </c>
      <c r="C6" s="147" t="inlineStr">
        <is>
          <t>陈七</t>
        </is>
      </c>
      <c r="D6" s="147" t="inlineStr">
        <is>
          <t>管理部</t>
        </is>
      </c>
      <c r="E6" s="147" t="inlineStr">
        <is>
          <t>会计</t>
        </is>
      </c>
      <c r="F6" s="151" t="n">
        <v>5000</v>
      </c>
      <c r="G6" s="151" t="n">
        <v>423</v>
      </c>
      <c r="H6" s="151" t="n">
        <v>5423</v>
      </c>
      <c r="I6" s="151" t="n">
        <v>525</v>
      </c>
      <c r="J6" s="151" t="n">
        <v>0</v>
      </c>
      <c r="K6" s="151" t="n">
        <v>4898</v>
      </c>
    </row>
    <row r="7" ht="15" customHeight="1" s="96">
      <c r="A7" s="150" t="inlineStr">
        <is>
          <t>2025-03-10</t>
        </is>
      </c>
      <c r="B7" s="150" t="inlineStr">
        <is>
          <t>2025-03</t>
        </is>
      </c>
      <c r="C7" s="149" t="inlineStr">
        <is>
          <t>刘八</t>
        </is>
      </c>
      <c r="D7" s="149" t="inlineStr">
        <is>
          <t>管理部</t>
        </is>
      </c>
      <c r="E7" s="149" t="inlineStr">
        <is>
          <t>老板</t>
        </is>
      </c>
      <c r="F7" s="152" t="n">
        <v>8000</v>
      </c>
      <c r="G7" s="152" t="n">
        <v>316</v>
      </c>
      <c r="H7" s="152" t="n">
        <v>8316</v>
      </c>
      <c r="I7" s="152" t="n">
        <v>840</v>
      </c>
      <c r="J7" s="152" t="n">
        <v>74.28</v>
      </c>
      <c r="K7" s="152" t="n">
        <v>7401.72</v>
      </c>
    </row>
    <row r="8" ht="15" customHeight="1" s="96">
      <c r="A8" s="148" t="inlineStr">
        <is>
          <t>2025-04-10</t>
        </is>
      </c>
      <c r="B8" s="148" t="inlineStr">
        <is>
          <t>2025-04</t>
        </is>
      </c>
      <c r="C8" s="147" t="inlineStr">
        <is>
          <t>张三</t>
        </is>
      </c>
      <c r="D8" s="147" t="inlineStr">
        <is>
          <t>生产部</t>
        </is>
      </c>
      <c r="E8" s="147" t="inlineStr">
        <is>
          <t>操作工</t>
        </is>
      </c>
      <c r="F8" s="151" t="n">
        <v>3800</v>
      </c>
      <c r="G8" s="151" t="n">
        <v>1246</v>
      </c>
      <c r="H8" s="151" t="n">
        <v>5046</v>
      </c>
      <c r="I8" s="151" t="n">
        <v>399</v>
      </c>
      <c r="J8" s="151" t="n">
        <v>0</v>
      </c>
      <c r="K8" s="151" t="n">
        <v>4647</v>
      </c>
    </row>
    <row r="9" ht="15" customHeight="1" s="96">
      <c r="A9" s="150" t="inlineStr">
        <is>
          <t>2025-04-10</t>
        </is>
      </c>
      <c r="B9" s="150" t="inlineStr">
        <is>
          <t>2025-04</t>
        </is>
      </c>
      <c r="C9" s="149" t="inlineStr">
        <is>
          <t>李四</t>
        </is>
      </c>
      <c r="D9" s="149" t="inlineStr">
        <is>
          <t>生产部</t>
        </is>
      </c>
      <c r="E9" s="149" t="inlineStr">
        <is>
          <t>操作工</t>
        </is>
      </c>
      <c r="F9" s="152" t="n">
        <v>4000</v>
      </c>
      <c r="G9" s="152" t="n">
        <v>364</v>
      </c>
      <c r="H9" s="152" t="n">
        <v>4364</v>
      </c>
      <c r="I9" s="152" t="n">
        <v>420</v>
      </c>
      <c r="J9" s="152" t="n">
        <v>0</v>
      </c>
      <c r="K9" s="152" t="n">
        <v>3944</v>
      </c>
    </row>
    <row r="10" ht="15" customHeight="1" s="96">
      <c r="A10" s="148" t="inlineStr">
        <is>
          <t>2025-04-10</t>
        </is>
      </c>
      <c r="B10" s="148" t="inlineStr">
        <is>
          <t>2025-04</t>
        </is>
      </c>
      <c r="C10" s="147" t="inlineStr">
        <is>
          <t>王五</t>
        </is>
      </c>
      <c r="D10" s="147" t="inlineStr">
        <is>
          <t>生产部</t>
        </is>
      </c>
      <c r="E10" s="147" t="inlineStr">
        <is>
          <t>班长</t>
        </is>
      </c>
      <c r="F10" s="151" t="n">
        <v>4500</v>
      </c>
      <c r="G10" s="151" t="n">
        <v>1046</v>
      </c>
      <c r="H10" s="151" t="n">
        <v>5546</v>
      </c>
      <c r="I10" s="151" t="n">
        <v>472.5</v>
      </c>
      <c r="J10" s="151" t="n">
        <v>2.21</v>
      </c>
      <c r="K10" s="151" t="n">
        <v>5071.29</v>
      </c>
    </row>
    <row r="11" ht="15" customHeight="1" s="96">
      <c r="A11" s="150" t="inlineStr">
        <is>
          <t>2025-04-10</t>
        </is>
      </c>
      <c r="B11" s="150" t="inlineStr">
        <is>
          <t>2025-04</t>
        </is>
      </c>
      <c r="C11" s="149" t="inlineStr">
        <is>
          <t>赵六</t>
        </is>
      </c>
      <c r="D11" s="149" t="inlineStr">
        <is>
          <t>生产部</t>
        </is>
      </c>
      <c r="E11" s="149" t="inlineStr">
        <is>
          <t>操作工</t>
        </is>
      </c>
      <c r="F11" s="152" t="n">
        <v>3800</v>
      </c>
      <c r="G11" s="152" t="n">
        <v>452</v>
      </c>
      <c r="H11" s="152" t="n">
        <v>4252</v>
      </c>
      <c r="I11" s="152" t="n">
        <v>399</v>
      </c>
      <c r="J11" s="152" t="n">
        <v>0</v>
      </c>
      <c r="K11" s="152" t="n">
        <v>3853</v>
      </c>
    </row>
    <row r="12" ht="15" customHeight="1" s="96">
      <c r="A12" s="148" t="inlineStr">
        <is>
          <t>2025-04-10</t>
        </is>
      </c>
      <c r="B12" s="148" t="inlineStr">
        <is>
          <t>2025-04</t>
        </is>
      </c>
      <c r="C12" s="147" t="inlineStr">
        <is>
          <t>陈七</t>
        </is>
      </c>
      <c r="D12" s="147" t="inlineStr">
        <is>
          <t>管理部</t>
        </is>
      </c>
      <c r="E12" s="147" t="inlineStr">
        <is>
          <t>会计</t>
        </is>
      </c>
      <c r="F12" s="151" t="n">
        <v>5000</v>
      </c>
      <c r="G12" s="151" t="n">
        <v>1026</v>
      </c>
      <c r="H12" s="151" t="n">
        <v>6026</v>
      </c>
      <c r="I12" s="151" t="n">
        <v>525</v>
      </c>
      <c r="J12" s="151" t="n">
        <v>15.03</v>
      </c>
      <c r="K12" s="151" t="n">
        <v>5485.97</v>
      </c>
    </row>
    <row r="13" ht="15" customHeight="1" s="96">
      <c r="A13" s="150" t="inlineStr">
        <is>
          <t>2025-04-10</t>
        </is>
      </c>
      <c r="B13" s="150" t="inlineStr">
        <is>
          <t>2025-04</t>
        </is>
      </c>
      <c r="C13" s="149" t="inlineStr">
        <is>
          <t>刘八</t>
        </is>
      </c>
      <c r="D13" s="149" t="inlineStr">
        <is>
          <t>管理部</t>
        </is>
      </c>
      <c r="E13" s="149" t="inlineStr">
        <is>
          <t>老板</t>
        </is>
      </c>
      <c r="F13" s="152" t="n">
        <v>8000</v>
      </c>
      <c r="G13" s="152" t="n">
        <v>1208</v>
      </c>
      <c r="H13" s="152" t="n">
        <v>9208</v>
      </c>
      <c r="I13" s="152" t="n">
        <v>840</v>
      </c>
      <c r="J13" s="152" t="n">
        <v>101.04</v>
      </c>
      <c r="K13" s="152" t="n">
        <v>8266.959999999999</v>
      </c>
    </row>
    <row r="14" ht="15" customHeight="1" s="96">
      <c r="A14" s="148" t="inlineStr">
        <is>
          <t>2025-05-10</t>
        </is>
      </c>
      <c r="B14" s="148" t="inlineStr">
        <is>
          <t>2025-05</t>
        </is>
      </c>
      <c r="C14" s="147" t="inlineStr">
        <is>
          <t>张三</t>
        </is>
      </c>
      <c r="D14" s="147" t="inlineStr">
        <is>
          <t>生产部</t>
        </is>
      </c>
      <c r="E14" s="147" t="inlineStr">
        <is>
          <t>操作工</t>
        </is>
      </c>
      <c r="F14" s="151" t="n">
        <v>3800</v>
      </c>
      <c r="G14" s="151" t="n">
        <v>1185</v>
      </c>
      <c r="H14" s="151" t="n">
        <v>4985</v>
      </c>
      <c r="I14" s="151" t="n">
        <v>399</v>
      </c>
      <c r="J14" s="151" t="n">
        <v>0</v>
      </c>
      <c r="K14" s="151" t="n">
        <v>4586</v>
      </c>
    </row>
    <row r="15" ht="15" customHeight="1" s="96">
      <c r="A15" s="150" t="inlineStr">
        <is>
          <t>2025-05-10</t>
        </is>
      </c>
      <c r="B15" s="150" t="inlineStr">
        <is>
          <t>2025-05</t>
        </is>
      </c>
      <c r="C15" s="149" t="inlineStr">
        <is>
          <t>李四</t>
        </is>
      </c>
      <c r="D15" s="149" t="inlineStr">
        <is>
          <t>生产部</t>
        </is>
      </c>
      <c r="E15" s="149" t="inlineStr">
        <is>
          <t>操作工</t>
        </is>
      </c>
      <c r="F15" s="152" t="n">
        <v>4000</v>
      </c>
      <c r="G15" s="152" t="n">
        <v>622</v>
      </c>
      <c r="H15" s="152" t="n">
        <v>4622</v>
      </c>
      <c r="I15" s="152" t="n">
        <v>420</v>
      </c>
      <c r="J15" s="152" t="n">
        <v>0</v>
      </c>
      <c r="K15" s="152" t="n">
        <v>4202</v>
      </c>
    </row>
    <row r="16" ht="15" customHeight="1" s="96">
      <c r="A16" s="148" t="inlineStr">
        <is>
          <t>2025-05-10</t>
        </is>
      </c>
      <c r="B16" s="148" t="inlineStr">
        <is>
          <t>2025-05</t>
        </is>
      </c>
      <c r="C16" s="147" t="inlineStr">
        <is>
          <t>王五</t>
        </is>
      </c>
      <c r="D16" s="147" t="inlineStr">
        <is>
          <t>生产部</t>
        </is>
      </c>
      <c r="E16" s="147" t="inlineStr">
        <is>
          <t>班长</t>
        </is>
      </c>
      <c r="F16" s="151" t="n">
        <v>4500</v>
      </c>
      <c r="G16" s="151" t="n">
        <v>1401</v>
      </c>
      <c r="H16" s="151" t="n">
        <v>5901</v>
      </c>
      <c r="I16" s="151" t="n">
        <v>472.5</v>
      </c>
      <c r="J16" s="151" t="n">
        <v>12.85</v>
      </c>
      <c r="K16" s="151" t="n">
        <v>5415.65</v>
      </c>
    </row>
    <row r="17" ht="15" customHeight="1" s="96">
      <c r="A17" s="150" t="inlineStr">
        <is>
          <t>2025-05-10</t>
        </is>
      </c>
      <c r="B17" s="150" t="inlineStr">
        <is>
          <t>2025-05</t>
        </is>
      </c>
      <c r="C17" s="149" t="inlineStr">
        <is>
          <t>赵六</t>
        </is>
      </c>
      <c r="D17" s="149" t="inlineStr">
        <is>
          <t>生产部</t>
        </is>
      </c>
      <c r="E17" s="149" t="inlineStr">
        <is>
          <t>操作工</t>
        </is>
      </c>
      <c r="F17" s="152" t="n">
        <v>3800</v>
      </c>
      <c r="G17" s="152" t="n">
        <v>762</v>
      </c>
      <c r="H17" s="152" t="n">
        <v>4562</v>
      </c>
      <c r="I17" s="152" t="n">
        <v>399</v>
      </c>
      <c r="J17" s="152" t="n">
        <v>0</v>
      </c>
      <c r="K17" s="152" t="n">
        <v>4163</v>
      </c>
    </row>
    <row r="18" ht="15" customHeight="1" s="96">
      <c r="A18" s="148" t="inlineStr">
        <is>
          <t>2025-05-10</t>
        </is>
      </c>
      <c r="B18" s="148" t="inlineStr">
        <is>
          <t>2025-05</t>
        </is>
      </c>
      <c r="C18" s="147" t="inlineStr">
        <is>
          <t>陈七</t>
        </is>
      </c>
      <c r="D18" s="147" t="inlineStr">
        <is>
          <t>管理部</t>
        </is>
      </c>
      <c r="E18" s="147" t="inlineStr">
        <is>
          <t>会计</t>
        </is>
      </c>
      <c r="F18" s="151" t="n">
        <v>5000</v>
      </c>
      <c r="G18" s="151" t="n">
        <v>1231</v>
      </c>
      <c r="H18" s="151" t="n">
        <v>6231</v>
      </c>
      <c r="I18" s="151" t="n">
        <v>525</v>
      </c>
      <c r="J18" s="151" t="n">
        <v>21.18</v>
      </c>
      <c r="K18" s="151" t="n">
        <v>5684.82</v>
      </c>
    </row>
    <row r="19" ht="15" customHeight="1" s="96">
      <c r="A19" s="150" t="inlineStr">
        <is>
          <t>2025-05-10</t>
        </is>
      </c>
      <c r="B19" s="150" t="inlineStr">
        <is>
          <t>2025-05</t>
        </is>
      </c>
      <c r="C19" s="149" t="inlineStr">
        <is>
          <t>刘八</t>
        </is>
      </c>
      <c r="D19" s="149" t="inlineStr">
        <is>
          <t>管理部</t>
        </is>
      </c>
      <c r="E19" s="149" t="inlineStr">
        <is>
          <t>老板</t>
        </is>
      </c>
      <c r="F19" s="152" t="n">
        <v>8000</v>
      </c>
      <c r="G19" s="152" t="n">
        <v>424</v>
      </c>
      <c r="H19" s="152" t="n">
        <v>8424</v>
      </c>
      <c r="I19" s="152" t="n">
        <v>840</v>
      </c>
      <c r="J19" s="152" t="n">
        <v>77.52</v>
      </c>
      <c r="K19" s="152" t="n">
        <v>7506.48</v>
      </c>
    </row>
    <row r="20" ht="15" customHeight="1" s="96">
      <c r="A20" s="184" t="inlineStr">
        <is>
          <t>2025-03 合计</t>
        </is>
      </c>
      <c r="F20" s="181">
        <f>SUMPRODUCT((B$2:B$19="2025-03")*F$2:F$19)</f>
        <v/>
      </c>
      <c r="G20" s="181">
        <f>SUMPRODUCT((B$2:B$19="2025-03")*G$2:G$19)</f>
        <v/>
      </c>
      <c r="H20" s="181">
        <f>SUMPRODUCT((B$2:B$19="2025-03")*H$2:H$19)</f>
        <v/>
      </c>
      <c r="I20" s="181">
        <f>SUMPRODUCT((B$2:B$19="2025-03")*I$2:I$19)</f>
        <v/>
      </c>
      <c r="J20" s="181">
        <f>SUMPRODUCT((B$2:B$19="2025-03")*J$2:J$19)</f>
        <v/>
      </c>
      <c r="K20" s="181">
        <f>SUMPRODUCT((B$2:B$19="2025-03")*K$2:K$19)</f>
        <v/>
      </c>
    </row>
    <row r="21" ht="15" customHeight="1" s="96">
      <c r="A21" s="184" t="inlineStr">
        <is>
          <t>2025-04 合计</t>
        </is>
      </c>
      <c r="F21" s="181">
        <f>SUMPRODUCT((B$2:B$20="2025-04")*F$2:F$20)</f>
        <v/>
      </c>
      <c r="G21" s="181">
        <f>SUMPRODUCT((B$2:B$20="2025-04")*G$2:G$20)</f>
        <v/>
      </c>
      <c r="H21" s="181">
        <f>SUMPRODUCT((B$2:B$20="2025-04")*H$2:H$20)</f>
        <v/>
      </c>
      <c r="I21" s="181">
        <f>SUMPRODUCT((B$2:B$20="2025-04")*I$2:I$20)</f>
        <v/>
      </c>
      <c r="J21" s="181">
        <f>SUMPRODUCT((B$2:B$20="2025-04")*J$2:J$20)</f>
        <v/>
      </c>
      <c r="K21" s="181">
        <f>SUMPRODUCT((B$2:B$20="2025-04")*K$2:K$20)</f>
        <v/>
      </c>
    </row>
    <row r="22" ht="15" customHeight="1" s="96">
      <c r="A22" s="184" t="inlineStr">
        <is>
          <t>2025-05 合计</t>
        </is>
      </c>
      <c r="F22" s="181">
        <f>SUMPRODUCT((B$2:B$21="2025-05")*F$2:F$21)</f>
        <v/>
      </c>
      <c r="G22" s="181">
        <f>SUMPRODUCT((B$2:B$21="2025-05")*G$2:G$21)</f>
        <v/>
      </c>
      <c r="H22" s="181">
        <f>SUMPRODUCT((B$2:B$21="2025-05")*H$2:H$21)</f>
        <v/>
      </c>
      <c r="I22" s="181">
        <f>SUMPRODUCT((B$2:B$21="2025-05")*I$2:I$21)</f>
        <v/>
      </c>
      <c r="J22" s="181">
        <f>SUMPRODUCT((B$2:B$21="2025-05")*J$2:J$21)</f>
        <v/>
      </c>
      <c r="K22" s="181">
        <f>SUMPRODUCT((B$2:B$21="2025-05")*K$2:K$21)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0">
    <tabColor rgb="FFFFC000"/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2" customWidth="1" style="95" min="1" max="1"/>
    <col width="14" customWidth="1" style="95" min="2" max="2"/>
    <col width="12" customWidth="1" style="95" min="3" max="3"/>
    <col width="14" customWidth="1" style="95" min="4" max="4"/>
    <col width="12" customWidth="1" style="95" min="5" max="5"/>
    <col width="20" customWidth="1" style="95" min="6" max="6"/>
  </cols>
  <sheetData>
    <row r="1" ht="15" customHeight="1" s="96">
      <c r="A1" s="124" t="inlineStr">
        <is>
          <t>日期</t>
        </is>
      </c>
      <c r="B1" s="124" t="inlineStr">
        <is>
          <t>费用项目</t>
        </is>
      </c>
      <c r="C1" s="124" t="inlineStr">
        <is>
          <t>金额(元)</t>
        </is>
      </c>
      <c r="D1" s="124" t="inlineStr">
        <is>
          <t>付款方式</t>
        </is>
      </c>
      <c r="E1" s="124" t="inlineStr">
        <is>
          <t>归属期间</t>
        </is>
      </c>
      <c r="F1" s="124" t="inlineStr">
        <is>
          <t>备注</t>
        </is>
      </c>
    </row>
    <row r="2" ht="15" customHeight="1" s="96">
      <c r="A2" s="148" t="inlineStr">
        <is>
          <t>2025-03-04</t>
        </is>
      </c>
      <c r="B2" s="147" t="inlineStr">
        <is>
          <t>除油剂</t>
        </is>
      </c>
      <c r="C2" s="151" t="n">
        <v>215.24</v>
      </c>
      <c r="D2" s="148" t="inlineStr">
        <is>
          <t>G银行转账</t>
        </is>
      </c>
      <c r="E2" s="148" t="inlineStr">
        <is>
          <t>2025-03</t>
        </is>
      </c>
      <c r="F2" s="147" t="n"/>
    </row>
    <row r="3" ht="15" customHeight="1" s="96">
      <c r="A3" s="150" t="inlineStr">
        <is>
          <t>2025-03-06</t>
        </is>
      </c>
      <c r="B3" s="149" t="inlineStr">
        <is>
          <t>三酸(硫酸/硝酸/铬酸)</t>
        </is>
      </c>
      <c r="C3" s="152" t="n">
        <v>3632.28</v>
      </c>
      <c r="D3" s="149" t="inlineStr">
        <is>
          <t>微信付款</t>
        </is>
      </c>
      <c r="E3" s="150" t="inlineStr">
        <is>
          <t>2025-03</t>
        </is>
      </c>
      <c r="F3" s="149" t="n"/>
    </row>
    <row r="4" ht="15" customHeight="1" s="96">
      <c r="A4" s="148" t="inlineStr">
        <is>
          <t>2025-03-08</t>
        </is>
      </c>
      <c r="B4" s="147" t="inlineStr">
        <is>
          <t>委外加工-抛光</t>
        </is>
      </c>
      <c r="C4" s="151" t="n">
        <v>386.81</v>
      </c>
      <c r="D4" s="148" t="inlineStr">
        <is>
          <t>G银行转账</t>
        </is>
      </c>
      <c r="E4" s="148" t="inlineStr">
        <is>
          <t>2025-03</t>
        </is>
      </c>
      <c r="F4" s="148" t="inlineStr">
        <is>
          <t>BB抛光厂</t>
        </is>
      </c>
    </row>
    <row r="5" ht="15" customHeight="1" s="96">
      <c r="A5" s="150" t="inlineStr">
        <is>
          <t>2025-03-10</t>
        </is>
      </c>
      <c r="B5" s="149" t="inlineStr">
        <is>
          <t>工资</t>
        </is>
      </c>
      <c r="C5" s="152" t="n">
        <v>29783.97</v>
      </c>
      <c r="D5" s="150" t="inlineStr">
        <is>
          <t>G银行转账</t>
        </is>
      </c>
      <c r="E5" s="150" t="inlineStr">
        <is>
          <t>2025-03</t>
        </is>
      </c>
      <c r="F5" s="149" t="inlineStr">
        <is>
          <t>员工工资</t>
        </is>
      </c>
    </row>
    <row r="6" ht="15" customHeight="1" s="96">
      <c r="A6" s="148" t="inlineStr">
        <is>
          <t>2025-03-10</t>
        </is>
      </c>
      <c r="B6" s="147" t="inlineStr">
        <is>
          <t>委外加工-拉丝</t>
        </is>
      </c>
      <c r="C6" s="151" t="n">
        <v>396.9</v>
      </c>
      <c r="D6" s="148" t="inlineStr">
        <is>
          <t>G银行转账</t>
        </is>
      </c>
      <c r="E6" s="148" t="inlineStr">
        <is>
          <t>2025-03</t>
        </is>
      </c>
      <c r="F6" s="148" t="inlineStr">
        <is>
          <t>AA喷砂厂</t>
        </is>
      </c>
    </row>
    <row r="7" ht="15" customHeight="1" s="96">
      <c r="A7" s="150" t="inlineStr">
        <is>
          <t>2025-03-11</t>
        </is>
      </c>
      <c r="B7" s="149" t="inlineStr">
        <is>
          <t>水费</t>
        </is>
      </c>
      <c r="C7" s="152" t="n">
        <v>471.44</v>
      </c>
      <c r="D7" s="150" t="inlineStr">
        <is>
          <t>G银行转账</t>
        </is>
      </c>
      <c r="E7" s="150" t="inlineStr">
        <is>
          <t>2025-03</t>
        </is>
      </c>
      <c r="F7" s="149" t="n"/>
    </row>
    <row r="8" ht="15" customHeight="1" s="96">
      <c r="A8" s="148" t="inlineStr">
        <is>
          <t>2025-03-15</t>
        </is>
      </c>
      <c r="B8" s="147" t="inlineStr">
        <is>
          <t>片碱</t>
        </is>
      </c>
      <c r="C8" s="151" t="n">
        <v>552.7</v>
      </c>
      <c r="D8" s="147" t="inlineStr">
        <is>
          <t>微信付款</t>
        </is>
      </c>
      <c r="E8" s="148" t="inlineStr">
        <is>
          <t>2025-03</t>
        </is>
      </c>
      <c r="F8" s="147" t="n"/>
    </row>
    <row r="9" ht="15" customHeight="1" s="96">
      <c r="A9" s="150" t="inlineStr">
        <is>
          <t>2025-03-15</t>
        </is>
      </c>
      <c r="B9" s="149" t="inlineStr">
        <is>
          <t>房租</t>
        </is>
      </c>
      <c r="C9" s="152" t="n">
        <v>8000</v>
      </c>
      <c r="D9" s="150" t="inlineStr">
        <is>
          <t>G银行转账</t>
        </is>
      </c>
      <c r="E9" s="150" t="inlineStr">
        <is>
          <t>2025-03</t>
        </is>
      </c>
      <c r="F9" s="149" t="inlineStr">
        <is>
          <t>厂房租金</t>
        </is>
      </c>
    </row>
    <row r="10" ht="15" customHeight="1" s="96">
      <c r="A10" s="148" t="inlineStr">
        <is>
          <t>2025-03-17</t>
        </is>
      </c>
      <c r="B10" s="147" t="inlineStr">
        <is>
          <t>委外加工-抛光</t>
        </is>
      </c>
      <c r="C10" s="151" t="n">
        <v>451.18</v>
      </c>
      <c r="D10" s="148" t="inlineStr">
        <is>
          <t>G银行转账</t>
        </is>
      </c>
      <c r="E10" s="148" t="inlineStr">
        <is>
          <t>2025-03</t>
        </is>
      </c>
      <c r="F10" s="148" t="inlineStr">
        <is>
          <t>BB抛光厂</t>
        </is>
      </c>
    </row>
    <row r="11" ht="15" customHeight="1" s="96">
      <c r="A11" s="150" t="inlineStr">
        <is>
          <t>2025-03-18</t>
        </is>
      </c>
      <c r="B11" s="149" t="inlineStr">
        <is>
          <t>色粉</t>
        </is>
      </c>
      <c r="C11" s="152" t="n">
        <v>1862.24</v>
      </c>
      <c r="D11" s="150" t="inlineStr">
        <is>
          <t>G银行转账</t>
        </is>
      </c>
      <c r="E11" s="150" t="inlineStr">
        <is>
          <t>2025-03</t>
        </is>
      </c>
      <c r="F11" s="149" t="n"/>
    </row>
    <row r="12" ht="15" customHeight="1" s="96">
      <c r="A12" s="148" t="inlineStr">
        <is>
          <t>2025-03-18</t>
        </is>
      </c>
      <c r="B12" s="147" t="inlineStr">
        <is>
          <t>日常费用</t>
        </is>
      </c>
      <c r="C12" s="151" t="n">
        <v>431.74</v>
      </c>
      <c r="D12" s="148" t="inlineStr">
        <is>
          <t>G银行转账</t>
        </is>
      </c>
      <c r="E12" s="148" t="inlineStr">
        <is>
          <t>2025-03</t>
        </is>
      </c>
      <c r="F12" s="147" t="n"/>
    </row>
    <row r="13" ht="15" customHeight="1" s="96">
      <c r="A13" s="150" t="inlineStr">
        <is>
          <t>2025-03-18</t>
        </is>
      </c>
      <c r="B13" s="149" t="inlineStr">
        <is>
          <t>委外加工-拉丝</t>
        </is>
      </c>
      <c r="C13" s="152" t="n">
        <v>627.41</v>
      </c>
      <c r="D13" s="150" t="inlineStr">
        <is>
          <t>G银行转账</t>
        </is>
      </c>
      <c r="E13" s="150" t="inlineStr">
        <is>
          <t>2025-03</t>
        </is>
      </c>
      <c r="F13" s="150" t="inlineStr">
        <is>
          <t>AA喷砂厂</t>
        </is>
      </c>
    </row>
    <row r="14" ht="15" customHeight="1" s="96">
      <c r="A14" s="148" t="inlineStr">
        <is>
          <t>2025-03-20</t>
        </is>
      </c>
      <c r="B14" s="147" t="inlineStr">
        <is>
          <t>委外加工-拉丝</t>
        </is>
      </c>
      <c r="C14" s="151" t="n">
        <v>179.36</v>
      </c>
      <c r="D14" s="148" t="inlineStr">
        <is>
          <t>G银行转账</t>
        </is>
      </c>
      <c r="E14" s="148" t="inlineStr">
        <is>
          <t>2025-03</t>
        </is>
      </c>
      <c r="F14" s="148" t="inlineStr">
        <is>
          <t>AA喷砂厂</t>
        </is>
      </c>
    </row>
    <row r="15" ht="15" customHeight="1" s="96">
      <c r="A15" s="150" t="inlineStr">
        <is>
          <t>2025-03-21</t>
        </is>
      </c>
      <c r="B15" s="149" t="inlineStr">
        <is>
          <t>电费</t>
        </is>
      </c>
      <c r="C15" s="152" t="n">
        <v>4062.49</v>
      </c>
      <c r="D15" s="150" t="inlineStr">
        <is>
          <t>N银行转账</t>
        </is>
      </c>
      <c r="E15" s="150" t="inlineStr">
        <is>
          <t>2025-03</t>
        </is>
      </c>
      <c r="F15" s="149" t="n"/>
    </row>
    <row r="16" ht="15" customHeight="1" s="96">
      <c r="A16" s="148" t="inlineStr">
        <is>
          <t>2025-03-21</t>
        </is>
      </c>
      <c r="B16" s="147" t="inlineStr">
        <is>
          <t>委外加工-拉丝</t>
        </is>
      </c>
      <c r="C16" s="151" t="n">
        <v>172.96</v>
      </c>
      <c r="D16" s="148" t="inlineStr">
        <is>
          <t>G银行转账</t>
        </is>
      </c>
      <c r="E16" s="148" t="inlineStr">
        <is>
          <t>2025-03</t>
        </is>
      </c>
      <c r="F16" s="148" t="inlineStr">
        <is>
          <t>AA喷砂厂</t>
        </is>
      </c>
    </row>
    <row r="17" ht="15" customHeight="1" s="96">
      <c r="A17" s="150" t="inlineStr">
        <is>
          <t>2025-03-23</t>
        </is>
      </c>
      <c r="B17" s="149" t="inlineStr">
        <is>
          <t>亚硝酸钠</t>
        </is>
      </c>
      <c r="C17" s="152" t="n">
        <v>300.45</v>
      </c>
      <c r="D17" s="150" t="inlineStr">
        <is>
          <t>N银行转账</t>
        </is>
      </c>
      <c r="E17" s="150" t="inlineStr">
        <is>
          <t>2025-03</t>
        </is>
      </c>
      <c r="F17" s="149" t="n"/>
    </row>
    <row r="18" ht="15" customHeight="1" s="96">
      <c r="A18" s="148" t="inlineStr">
        <is>
          <t>2025-03-23</t>
        </is>
      </c>
      <c r="B18" s="147" t="inlineStr">
        <is>
          <t>挂具</t>
        </is>
      </c>
      <c r="C18" s="151" t="n">
        <v>353.71</v>
      </c>
      <c r="D18" s="148" t="inlineStr">
        <is>
          <t>G银行转账</t>
        </is>
      </c>
      <c r="E18" s="148" t="inlineStr">
        <is>
          <t>2025-03</t>
        </is>
      </c>
      <c r="F18" s="147" t="n"/>
    </row>
    <row r="19" ht="15" customHeight="1" s="96">
      <c r="A19" s="150" t="inlineStr">
        <is>
          <t>2025-03-27</t>
        </is>
      </c>
      <c r="B19" s="149" t="inlineStr">
        <is>
          <t>日常费用</t>
        </is>
      </c>
      <c r="C19" s="152" t="n">
        <v>108.82</v>
      </c>
      <c r="D19" s="150" t="inlineStr">
        <is>
          <t>N银行转账</t>
        </is>
      </c>
      <c r="E19" s="150" t="inlineStr">
        <is>
          <t>2025-03</t>
        </is>
      </c>
      <c r="F19" s="149" t="n"/>
    </row>
    <row r="20" ht="15" customHeight="1" s="96">
      <c r="A20" s="148" t="inlineStr">
        <is>
          <t>2025-04-10</t>
        </is>
      </c>
      <c r="B20" s="147" t="inlineStr">
        <is>
          <t>工资</t>
        </is>
      </c>
      <c r="C20" s="151" t="n">
        <v>31268.22</v>
      </c>
      <c r="D20" s="148" t="inlineStr">
        <is>
          <t>G银行转账</t>
        </is>
      </c>
      <c r="E20" s="148" t="inlineStr">
        <is>
          <t>2025-04</t>
        </is>
      </c>
      <c r="F20" s="147" t="inlineStr">
        <is>
          <t>员工工资</t>
        </is>
      </c>
    </row>
    <row r="21" ht="15" customHeight="1" s="96">
      <c r="A21" s="150" t="inlineStr">
        <is>
          <t>2025-04-10</t>
        </is>
      </c>
      <c r="B21" s="149" t="inlineStr">
        <is>
          <t>委外加工-拉丝</t>
        </is>
      </c>
      <c r="C21" s="152" t="n">
        <v>1498.48</v>
      </c>
      <c r="D21" s="150" t="inlineStr">
        <is>
          <t>G银行转账</t>
        </is>
      </c>
      <c r="E21" s="150" t="inlineStr">
        <is>
          <t>2025-04</t>
        </is>
      </c>
      <c r="F21" s="150" t="inlineStr">
        <is>
          <t>AA喷砂厂</t>
        </is>
      </c>
    </row>
    <row r="22" ht="15" customHeight="1" s="96">
      <c r="A22" s="148" t="inlineStr">
        <is>
          <t>2025-04-13</t>
        </is>
      </c>
      <c r="B22" s="147" t="inlineStr">
        <is>
          <t>委外加工-拉丝</t>
        </is>
      </c>
      <c r="C22" s="151" t="n">
        <v>270.03</v>
      </c>
      <c r="D22" s="148" t="inlineStr">
        <is>
          <t>G银行转账</t>
        </is>
      </c>
      <c r="E22" s="148" t="inlineStr">
        <is>
          <t>2025-04</t>
        </is>
      </c>
      <c r="F22" s="148" t="inlineStr">
        <is>
          <t>AA喷砂厂</t>
        </is>
      </c>
    </row>
    <row r="23" ht="15" customHeight="1" s="96">
      <c r="A23" s="150" t="inlineStr">
        <is>
          <t>2025-04-14</t>
        </is>
      </c>
      <c r="B23" s="149" t="inlineStr">
        <is>
          <t>水费</t>
        </is>
      </c>
      <c r="C23" s="152" t="n">
        <v>698.11</v>
      </c>
      <c r="D23" s="150" t="inlineStr">
        <is>
          <t>N银行转账</t>
        </is>
      </c>
      <c r="E23" s="150" t="inlineStr">
        <is>
          <t>2025-04</t>
        </is>
      </c>
      <c r="F23" s="149" t="n"/>
    </row>
    <row r="24" ht="15" customHeight="1" s="96">
      <c r="A24" s="148" t="inlineStr">
        <is>
          <t>2025-04-14</t>
        </is>
      </c>
      <c r="B24" s="147" t="inlineStr">
        <is>
          <t>片碱</t>
        </is>
      </c>
      <c r="C24" s="151" t="n">
        <v>566.37</v>
      </c>
      <c r="D24" s="148" t="inlineStr">
        <is>
          <t>G银行转账</t>
        </is>
      </c>
      <c r="E24" s="148" t="inlineStr">
        <is>
          <t>2025-04</t>
        </is>
      </c>
      <c r="F24" s="147" t="n"/>
    </row>
    <row r="25" ht="15" customHeight="1" s="96">
      <c r="A25" s="150" t="inlineStr">
        <is>
          <t>2025-04-15</t>
        </is>
      </c>
      <c r="B25" s="149" t="inlineStr">
        <is>
          <t>日常费用</t>
        </is>
      </c>
      <c r="C25" s="152" t="n">
        <v>268.02</v>
      </c>
      <c r="D25" s="150" t="inlineStr">
        <is>
          <t>N银行转账</t>
        </is>
      </c>
      <c r="E25" s="150" t="inlineStr">
        <is>
          <t>2025-04</t>
        </is>
      </c>
      <c r="F25" s="149" t="n"/>
    </row>
    <row r="26" ht="15" customHeight="1" s="96">
      <c r="A26" s="148" t="inlineStr">
        <is>
          <t>2025-04-15</t>
        </is>
      </c>
      <c r="B26" s="147" t="inlineStr">
        <is>
          <t>房租</t>
        </is>
      </c>
      <c r="C26" s="151" t="n">
        <v>8000</v>
      </c>
      <c r="D26" s="148" t="inlineStr">
        <is>
          <t>G银行转账</t>
        </is>
      </c>
      <c r="E26" s="148" t="inlineStr">
        <is>
          <t>2025-04</t>
        </is>
      </c>
      <c r="F26" s="147" t="inlineStr">
        <is>
          <t>厂房租金</t>
        </is>
      </c>
    </row>
    <row r="27" ht="15" customHeight="1" s="96">
      <c r="A27" s="150" t="inlineStr">
        <is>
          <t>2025-04-20</t>
        </is>
      </c>
      <c r="B27" s="149" t="inlineStr">
        <is>
          <t>除油剂</t>
        </is>
      </c>
      <c r="C27" s="152" t="n">
        <v>394.26</v>
      </c>
      <c r="D27" s="149" t="inlineStr">
        <is>
          <t>微信付款</t>
        </is>
      </c>
      <c r="E27" s="150" t="inlineStr">
        <is>
          <t>2025-04</t>
        </is>
      </c>
      <c r="F27" s="149" t="n"/>
    </row>
    <row r="28" ht="15" customHeight="1" s="96">
      <c r="A28" s="148" t="inlineStr">
        <is>
          <t>2025-04-21</t>
        </is>
      </c>
      <c r="B28" s="147" t="inlineStr">
        <is>
          <t>电费</t>
        </is>
      </c>
      <c r="C28" s="151" t="n">
        <v>3697.8</v>
      </c>
      <c r="D28" s="148" t="inlineStr">
        <is>
          <t>N银行转账</t>
        </is>
      </c>
      <c r="E28" s="148" t="inlineStr">
        <is>
          <t>2025-04</t>
        </is>
      </c>
      <c r="F28" s="147" t="n"/>
    </row>
    <row r="29" ht="15" customHeight="1" s="96">
      <c r="A29" s="150" t="inlineStr">
        <is>
          <t>2025-04-21</t>
        </is>
      </c>
      <c r="B29" s="149" t="inlineStr">
        <is>
          <t>色粉</t>
        </is>
      </c>
      <c r="C29" s="152" t="n">
        <v>603.4400000000001</v>
      </c>
      <c r="D29" s="150" t="inlineStr">
        <is>
          <t>N银行转账</t>
        </is>
      </c>
      <c r="E29" s="150" t="inlineStr">
        <is>
          <t>2025-04</t>
        </is>
      </c>
      <c r="F29" s="149" t="n"/>
    </row>
    <row r="30" ht="15" customHeight="1" s="96">
      <c r="A30" s="148" t="inlineStr">
        <is>
          <t>2025-04-23</t>
        </is>
      </c>
      <c r="B30" s="147" t="inlineStr">
        <is>
          <t>三酸(硫酸/硝酸/铬酸)</t>
        </is>
      </c>
      <c r="C30" s="151" t="n">
        <v>1602.67</v>
      </c>
      <c r="D30" s="148" t="inlineStr">
        <is>
          <t>G银行转账</t>
        </is>
      </c>
      <c r="E30" s="148" t="inlineStr">
        <is>
          <t>2025-04</t>
        </is>
      </c>
      <c r="F30" s="147" t="n"/>
    </row>
    <row r="31" ht="15" customHeight="1" s="96">
      <c r="A31" s="150" t="inlineStr">
        <is>
          <t>2025-04-24</t>
        </is>
      </c>
      <c r="B31" s="149" t="inlineStr">
        <is>
          <t>亚硝酸钠</t>
        </is>
      </c>
      <c r="C31" s="152" t="n">
        <v>464.61</v>
      </c>
      <c r="D31" s="149" t="inlineStr">
        <is>
          <t>微信付款</t>
        </is>
      </c>
      <c r="E31" s="150" t="inlineStr">
        <is>
          <t>2025-04</t>
        </is>
      </c>
      <c r="F31" s="149" t="n"/>
    </row>
    <row r="32" ht="15" customHeight="1" s="96">
      <c r="A32" s="148" t="inlineStr">
        <is>
          <t>2025-04-25</t>
        </is>
      </c>
      <c r="B32" s="147" t="inlineStr">
        <is>
          <t>挂具</t>
        </is>
      </c>
      <c r="C32" s="151" t="n">
        <v>105.06</v>
      </c>
      <c r="D32" s="148" t="inlineStr">
        <is>
          <t>N银行转账</t>
        </is>
      </c>
      <c r="E32" s="148" t="inlineStr">
        <is>
          <t>2025-04</t>
        </is>
      </c>
      <c r="F32" s="147" t="n"/>
    </row>
    <row r="33" ht="15" customHeight="1" s="96">
      <c r="A33" s="150" t="inlineStr">
        <is>
          <t>2025-04-25</t>
        </is>
      </c>
      <c r="B33" s="149" t="inlineStr">
        <is>
          <t>委外加工-喷砂</t>
        </is>
      </c>
      <c r="C33" s="152" t="n">
        <v>388.62</v>
      </c>
      <c r="D33" s="150" t="inlineStr">
        <is>
          <t>G银行转账</t>
        </is>
      </c>
      <c r="E33" s="150" t="inlineStr">
        <is>
          <t>2025-04</t>
        </is>
      </c>
      <c r="F33" s="150" t="inlineStr">
        <is>
          <t>AA喷砂厂</t>
        </is>
      </c>
    </row>
    <row r="34" ht="15" customHeight="1" s="96">
      <c r="A34" s="148" t="inlineStr">
        <is>
          <t>2025-04-27</t>
        </is>
      </c>
      <c r="B34" s="147" t="inlineStr">
        <is>
          <t>日常费用</t>
        </is>
      </c>
      <c r="C34" s="151" t="n">
        <v>198.04</v>
      </c>
      <c r="D34" s="147" t="inlineStr">
        <is>
          <t>微信付款</t>
        </is>
      </c>
      <c r="E34" s="148" t="inlineStr">
        <is>
          <t>2025-04</t>
        </is>
      </c>
      <c r="F34" s="147" t="n"/>
    </row>
    <row r="35" ht="15" customHeight="1" s="96">
      <c r="A35" s="150" t="inlineStr">
        <is>
          <t>2025-05-02</t>
        </is>
      </c>
      <c r="B35" s="149" t="inlineStr">
        <is>
          <t>亚硝酸钠</t>
        </is>
      </c>
      <c r="C35" s="152" t="n">
        <v>259.44</v>
      </c>
      <c r="D35" s="150" t="inlineStr">
        <is>
          <t>N银行转账</t>
        </is>
      </c>
      <c r="E35" s="150" t="inlineStr">
        <is>
          <t>2025-05</t>
        </is>
      </c>
      <c r="F35" s="149" t="n"/>
    </row>
    <row r="36" ht="15" customHeight="1" s="96">
      <c r="A36" s="148" t="inlineStr">
        <is>
          <t>2025-05-05</t>
        </is>
      </c>
      <c r="B36" s="147" t="inlineStr">
        <is>
          <t>日常费用</t>
        </is>
      </c>
      <c r="C36" s="151" t="n">
        <v>191.07</v>
      </c>
      <c r="D36" s="148" t="inlineStr">
        <is>
          <t>N银行转账</t>
        </is>
      </c>
      <c r="E36" s="148" t="inlineStr">
        <is>
          <t>2025-05</t>
        </is>
      </c>
      <c r="F36" s="147" t="n"/>
    </row>
    <row r="37" ht="15" customHeight="1" s="96">
      <c r="A37" s="150" t="inlineStr">
        <is>
          <t>2025-05-05</t>
        </is>
      </c>
      <c r="B37" s="149" t="inlineStr">
        <is>
          <t>委外加工-抛光</t>
        </is>
      </c>
      <c r="C37" s="152" t="n">
        <v>562.34</v>
      </c>
      <c r="D37" s="150" t="inlineStr">
        <is>
          <t>G银行转账</t>
        </is>
      </c>
      <c r="E37" s="150" t="inlineStr">
        <is>
          <t>2025-05</t>
        </is>
      </c>
      <c r="F37" s="150" t="inlineStr">
        <is>
          <t>BB抛光厂</t>
        </is>
      </c>
    </row>
    <row r="38" ht="15" customHeight="1" s="96">
      <c r="A38" s="148" t="inlineStr">
        <is>
          <t>2025-05-08</t>
        </is>
      </c>
      <c r="B38" s="147" t="inlineStr">
        <is>
          <t>片碱</t>
        </is>
      </c>
      <c r="C38" s="151" t="n">
        <v>544.8200000000001</v>
      </c>
      <c r="D38" s="148" t="inlineStr">
        <is>
          <t>N银行转账</t>
        </is>
      </c>
      <c r="E38" s="148" t="inlineStr">
        <is>
          <t>2025-05</t>
        </is>
      </c>
      <c r="F38" s="147" t="n"/>
    </row>
    <row r="39" ht="15" customHeight="1" s="96">
      <c r="A39" s="150" t="inlineStr">
        <is>
          <t>2025-05-10</t>
        </is>
      </c>
      <c r="B39" s="149" t="inlineStr">
        <is>
          <t>工资</t>
        </is>
      </c>
      <c r="C39" s="152" t="n">
        <v>31557.95</v>
      </c>
      <c r="D39" s="150" t="inlineStr">
        <is>
          <t>G银行转账</t>
        </is>
      </c>
      <c r="E39" s="150" t="inlineStr">
        <is>
          <t>2025-05</t>
        </is>
      </c>
      <c r="F39" s="149" t="inlineStr">
        <is>
          <t>员工工资</t>
        </is>
      </c>
    </row>
    <row r="40" ht="15" customHeight="1" s="96">
      <c r="A40" s="148" t="inlineStr">
        <is>
          <t>2025-05-11</t>
        </is>
      </c>
      <c r="B40" s="147" t="inlineStr">
        <is>
          <t>水费</t>
        </is>
      </c>
      <c r="C40" s="151" t="n">
        <v>449.28</v>
      </c>
      <c r="D40" s="148" t="inlineStr">
        <is>
          <t>G银行转账</t>
        </is>
      </c>
      <c r="E40" s="148" t="inlineStr">
        <is>
          <t>2025-05</t>
        </is>
      </c>
      <c r="F40" s="147" t="n"/>
    </row>
    <row r="41" ht="15" customHeight="1" s="96">
      <c r="A41" s="150" t="inlineStr">
        <is>
          <t>2025-05-13</t>
        </is>
      </c>
      <c r="B41" s="149" t="inlineStr">
        <is>
          <t>挂具</t>
        </is>
      </c>
      <c r="C41" s="152" t="n">
        <v>320.77</v>
      </c>
      <c r="D41" s="149" t="inlineStr">
        <is>
          <t>微信付款</t>
        </is>
      </c>
      <c r="E41" s="150" t="inlineStr">
        <is>
          <t>2025-05</t>
        </is>
      </c>
      <c r="F41" s="149" t="n"/>
    </row>
    <row r="42" ht="15" customHeight="1" s="96">
      <c r="A42" s="148" t="inlineStr">
        <is>
          <t>2025-05-14</t>
        </is>
      </c>
      <c r="B42" s="147" t="inlineStr">
        <is>
          <t>委外加工-抛光</t>
        </is>
      </c>
      <c r="C42" s="151" t="n">
        <v>636.91</v>
      </c>
      <c r="D42" s="148" t="inlineStr">
        <is>
          <t>G银行转账</t>
        </is>
      </c>
      <c r="E42" s="148" t="inlineStr">
        <is>
          <t>2025-05</t>
        </is>
      </c>
      <c r="F42" s="148" t="inlineStr">
        <is>
          <t>BB抛光厂</t>
        </is>
      </c>
    </row>
    <row r="43" ht="15" customHeight="1" s="96">
      <c r="A43" s="150" t="inlineStr">
        <is>
          <t>2025-05-15</t>
        </is>
      </c>
      <c r="B43" s="149" t="inlineStr">
        <is>
          <t>房租</t>
        </is>
      </c>
      <c r="C43" s="152" t="n">
        <v>8000</v>
      </c>
      <c r="D43" s="150" t="inlineStr">
        <is>
          <t>G银行转账</t>
        </is>
      </c>
      <c r="E43" s="150" t="inlineStr">
        <is>
          <t>2025-05</t>
        </is>
      </c>
      <c r="F43" s="149" t="inlineStr">
        <is>
          <t>厂房租金</t>
        </is>
      </c>
    </row>
    <row r="44" ht="15" customHeight="1" s="96">
      <c r="A44" s="148" t="inlineStr">
        <is>
          <t>2025-05-16</t>
        </is>
      </c>
      <c r="B44" s="147" t="inlineStr">
        <is>
          <t>委外加工-拉丝</t>
        </is>
      </c>
      <c r="C44" s="151" t="n">
        <v>561.4400000000001</v>
      </c>
      <c r="D44" s="148" t="inlineStr">
        <is>
          <t>G银行转账</t>
        </is>
      </c>
      <c r="E44" s="148" t="inlineStr">
        <is>
          <t>2025-05</t>
        </is>
      </c>
      <c r="F44" s="148" t="inlineStr">
        <is>
          <t>AA喷砂厂</t>
        </is>
      </c>
    </row>
    <row r="45" ht="15" customHeight="1" s="96">
      <c r="A45" s="150" t="inlineStr">
        <is>
          <t>2025-05-19</t>
        </is>
      </c>
      <c r="B45" s="149" t="inlineStr">
        <is>
          <t>三酸(硫酸/硝酸/铬酸)</t>
        </is>
      </c>
      <c r="C45" s="152" t="n">
        <v>3997.26</v>
      </c>
      <c r="D45" s="150" t="inlineStr">
        <is>
          <t>N银行转账</t>
        </is>
      </c>
      <c r="E45" s="150" t="inlineStr">
        <is>
          <t>2025-05</t>
        </is>
      </c>
      <c r="F45" s="149" t="n"/>
    </row>
    <row r="46" ht="15" customHeight="1" s="96">
      <c r="A46" s="148" t="inlineStr">
        <is>
          <t>2025-05-23</t>
        </is>
      </c>
      <c r="B46" s="147" t="inlineStr">
        <is>
          <t>电费</t>
        </is>
      </c>
      <c r="C46" s="151" t="n">
        <v>3760.81</v>
      </c>
      <c r="D46" s="148" t="inlineStr">
        <is>
          <t>G银行转账</t>
        </is>
      </c>
      <c r="E46" s="148" t="inlineStr">
        <is>
          <t>2025-05</t>
        </is>
      </c>
      <c r="F46" s="147" t="n"/>
    </row>
    <row r="47" ht="15" customHeight="1" s="96">
      <c r="A47" s="150" t="inlineStr">
        <is>
          <t>2025-05-23</t>
        </is>
      </c>
      <c r="B47" s="149" t="inlineStr">
        <is>
          <t>除油剂</t>
        </is>
      </c>
      <c r="C47" s="152" t="n">
        <v>303.54</v>
      </c>
      <c r="D47" s="150" t="inlineStr">
        <is>
          <t>N银行转账</t>
        </is>
      </c>
      <c r="E47" s="150" t="inlineStr">
        <is>
          <t>2025-05</t>
        </is>
      </c>
      <c r="F47" s="149" t="n"/>
    </row>
    <row r="48" ht="15" customHeight="1" s="96">
      <c r="A48" s="148" t="inlineStr">
        <is>
          <t>2025-05-24</t>
        </is>
      </c>
      <c r="B48" s="147" t="inlineStr">
        <is>
          <t>色粉</t>
        </is>
      </c>
      <c r="C48" s="151" t="n">
        <v>1307.87</v>
      </c>
      <c r="D48" s="148" t="inlineStr">
        <is>
          <t>N银行转账</t>
        </is>
      </c>
      <c r="E48" s="148" t="inlineStr">
        <is>
          <t>2025-05</t>
        </is>
      </c>
      <c r="F48" s="147" t="n"/>
    </row>
    <row r="49" ht="15" customHeight="1" s="96">
      <c r="A49" s="150" t="inlineStr">
        <is>
          <t>2025-05-24</t>
        </is>
      </c>
      <c r="B49" s="149" t="inlineStr">
        <is>
          <t>委外加工-喷砂</t>
        </is>
      </c>
      <c r="C49" s="152" t="n">
        <v>869.63</v>
      </c>
      <c r="D49" s="150" t="inlineStr">
        <is>
          <t>G银行转账</t>
        </is>
      </c>
      <c r="E49" s="150" t="inlineStr">
        <is>
          <t>2025-05</t>
        </is>
      </c>
      <c r="F49" s="150" t="inlineStr">
        <is>
          <t>AA喷砂厂</t>
        </is>
      </c>
    </row>
    <row r="50" ht="15" customHeight="1" s="96">
      <c r="A50" s="148" t="inlineStr">
        <is>
          <t>2025-05-26</t>
        </is>
      </c>
      <c r="B50" s="147" t="inlineStr">
        <is>
          <t>日常费用</t>
        </is>
      </c>
      <c r="C50" s="151" t="n">
        <v>317.37</v>
      </c>
      <c r="D50" s="147" t="inlineStr">
        <is>
          <t>微信付款</t>
        </is>
      </c>
      <c r="E50" s="148" t="inlineStr">
        <is>
          <t>2025-05</t>
        </is>
      </c>
      <c r="F50" s="147" t="n"/>
    </row>
    <row r="52" ht="15" customHeight="1" s="96">
      <c r="A52" s="146" t="inlineStr">
        <is>
          <t>【按费用项目汇总】</t>
        </is>
      </c>
    </row>
    <row r="53" ht="15" customHeight="1" s="96">
      <c r="A53" s="124" t="inlineStr">
        <is>
          <t>费用项目</t>
        </is>
      </c>
      <c r="B53" s="124" t="inlineStr">
        <is>
          <t>合计金额(元)</t>
        </is>
      </c>
    </row>
    <row r="54" ht="15" customHeight="1" s="96">
      <c r="A54" s="115" t="inlineStr">
        <is>
          <t>房租</t>
        </is>
      </c>
      <c r="B54" s="116">
        <f>SUMPRODUCT((B$2:B52="房租")*C$2:C52)</f>
        <v/>
      </c>
    </row>
    <row r="55" ht="15" customHeight="1" s="96">
      <c r="A55" s="115" t="inlineStr">
        <is>
          <t>工资</t>
        </is>
      </c>
      <c r="B55" s="116">
        <f>SUMPRODUCT((B$2:B53="工资")*C$2:C53)</f>
        <v/>
      </c>
    </row>
    <row r="56" ht="15" customHeight="1" s="96">
      <c r="A56" s="115" t="inlineStr">
        <is>
          <t>水费</t>
        </is>
      </c>
      <c r="B56" s="116">
        <f>SUMPRODUCT((B$2:B54="水费")*C$2:C54)</f>
        <v/>
      </c>
    </row>
    <row r="57" ht="15" customHeight="1" s="96">
      <c r="A57" s="115" t="inlineStr">
        <is>
          <t>电费</t>
        </is>
      </c>
      <c r="B57" s="116">
        <f>SUMPRODUCT((B$2:B55="电费")*C$2:C55)</f>
        <v/>
      </c>
    </row>
    <row r="58" ht="15" customHeight="1" s="96">
      <c r="A58" s="115" t="inlineStr">
        <is>
          <t>三酸(硫酸/硝酸/铬酸)</t>
        </is>
      </c>
      <c r="B58" s="116">
        <f>SUMPRODUCT((B$2:B56="三酸(硫酸/硝酸/铬酸)")*C$2:C56)</f>
        <v/>
      </c>
    </row>
    <row r="59" ht="15" customHeight="1" s="96">
      <c r="A59" s="115" t="inlineStr">
        <is>
          <t>片碱</t>
        </is>
      </c>
      <c r="B59" s="116">
        <f>SUMPRODUCT((B$2:B57="片碱")*C$2:C57)</f>
        <v/>
      </c>
    </row>
    <row r="60" ht="15" customHeight="1" s="96">
      <c r="A60" s="115" t="inlineStr">
        <is>
          <t>亚硝酸钠</t>
        </is>
      </c>
      <c r="B60" s="116">
        <f>SUMPRODUCT((B$2:B58="亚硝酸钠")*C$2:C58)</f>
        <v/>
      </c>
    </row>
    <row r="61" ht="15" customHeight="1" s="96">
      <c r="A61" s="115" t="inlineStr">
        <is>
          <t>色粉</t>
        </is>
      </c>
      <c r="B61" s="116">
        <f>SUMPRODUCT((B$2:B59="色粉")*C$2:C59)</f>
        <v/>
      </c>
    </row>
    <row r="62" ht="15" customHeight="1" s="96">
      <c r="A62" s="115" t="inlineStr">
        <is>
          <t>除油剂</t>
        </is>
      </c>
      <c r="B62" s="116">
        <f>SUMPRODUCT((B$2:B60="除油剂")*C$2:C60)</f>
        <v/>
      </c>
    </row>
    <row r="63" ht="15" customHeight="1" s="96">
      <c r="A63" s="115" t="inlineStr">
        <is>
          <t>挂具</t>
        </is>
      </c>
      <c r="B63" s="116">
        <f>SUMPRODUCT((B$2:B61="挂具")*C$2:C61)</f>
        <v/>
      </c>
    </row>
    <row r="64" ht="15" customHeight="1" s="96">
      <c r="A64" s="115" t="inlineStr">
        <is>
          <t>委外加工-喷砂</t>
        </is>
      </c>
      <c r="B64" s="116">
        <f>SUMPRODUCT((B$2:B62="委外加工-喷砂")*C$2:C62)</f>
        <v/>
      </c>
    </row>
    <row r="65" ht="15" customHeight="1" s="96">
      <c r="A65" s="115" t="inlineStr">
        <is>
          <t>委外加工-抛光</t>
        </is>
      </c>
      <c r="B65" s="116">
        <f>SUMPRODUCT((B$2:B63="委外加工-抛光")*C$2:C63)</f>
        <v/>
      </c>
    </row>
    <row r="66" ht="15" customHeight="1" s="96">
      <c r="A66" s="115" t="inlineStr">
        <is>
          <t>委外加工-拉丝</t>
        </is>
      </c>
      <c r="B66" s="116">
        <f>SUMPRODUCT((B$2:B64="委外加工-拉丝")*C$2:C64)</f>
        <v/>
      </c>
    </row>
    <row r="67" ht="15" customHeight="1" s="96">
      <c r="A67" s="115" t="inlineStr">
        <is>
          <t>日常费用</t>
        </is>
      </c>
      <c r="B67" s="116">
        <f>SUMPRODUCT((B$2:B65="日常费用")*C$2:C65)</f>
        <v/>
      </c>
    </row>
  </sheetData>
  <mergeCells count="1">
    <mergeCell ref="A52:H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0">
    <tabColor rgb="FF5B9BD5"/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6" customWidth="1" style="95" min="1" max="1"/>
    <col width="22" customWidth="1" style="95" min="2" max="2"/>
    <col width="16" customWidth="1" style="95" min="3" max="5"/>
  </cols>
  <sheetData>
    <row r="1" ht="15" customHeight="1" s="96">
      <c r="A1" s="155" t="inlineStr">
        <is>
          <t>客户对账单汇总</t>
        </is>
      </c>
    </row>
    <row r="2" ht="15" customHeight="1" s="96">
      <c r="A2" s="143" t="inlineStr">
        <is>
          <t>对账期间：2025年3月 - 2025年5月</t>
        </is>
      </c>
    </row>
    <row r="3" ht="15" customHeight="1" s="96">
      <c r="A3" s="124" t="inlineStr">
        <is>
          <t>客户名称</t>
        </is>
      </c>
      <c r="B3" s="124" t="inlineStr">
        <is>
          <t>对账期间</t>
        </is>
      </c>
      <c r="C3" s="124" t="inlineStr">
        <is>
          <t>订单金额合计</t>
        </is>
      </c>
      <c r="D3" s="124" t="inlineStr">
        <is>
          <t>已收金额</t>
        </is>
      </c>
      <c r="E3" s="124" t="inlineStr">
        <is>
          <t>应收余额</t>
        </is>
      </c>
    </row>
    <row r="4" ht="15" customHeight="1" s="96">
      <c r="A4" s="147" t="inlineStr">
        <is>
          <t>永达五金厂</t>
        </is>
      </c>
      <c r="B4" s="148" t="inlineStr">
        <is>
          <t>2025-03 至 2025-05</t>
        </is>
      </c>
      <c r="C4" s="151">
        <f>SUMIF(加工订单!C:C,A4,加工订单!K:K)</f>
        <v/>
      </c>
      <c r="D4" s="151">
        <f>SUMIF(收款记录!C:C,A4,收款记录!D:D)</f>
        <v/>
      </c>
      <c r="E4" s="151">
        <f>C4-D4</f>
        <v/>
      </c>
    </row>
    <row r="5" ht="15" customHeight="1" s="96">
      <c r="A5" s="149" t="inlineStr">
        <is>
          <t>恒丰铝业</t>
        </is>
      </c>
      <c r="B5" s="150" t="inlineStr">
        <is>
          <t>2025-03 至 2025-05</t>
        </is>
      </c>
      <c r="C5" s="152">
        <f>SUMIF(加工订单!C:C,A5,加工订单!K:K)</f>
        <v/>
      </c>
      <c r="D5" s="152">
        <f>SUMIF(收款记录!C:C,A5,收款记录!D:D)</f>
        <v/>
      </c>
      <c r="E5" s="152">
        <f>C5-D5</f>
        <v/>
      </c>
    </row>
    <row r="6" ht="15" customHeight="1" s="96">
      <c r="A6" s="147" t="inlineStr">
        <is>
          <t>鑫达精密</t>
        </is>
      </c>
      <c r="B6" s="148" t="inlineStr">
        <is>
          <t>2025-03 至 2025-05</t>
        </is>
      </c>
      <c r="C6" s="151">
        <f>SUMIF(加工订单!C:C,A6,加工订单!K:K)</f>
        <v/>
      </c>
      <c r="D6" s="151">
        <f>SUMIF(收款记录!C:C,A6,收款记录!D:D)</f>
        <v/>
      </c>
      <c r="E6" s="151">
        <f>C6-D6</f>
        <v/>
      </c>
    </row>
    <row r="7" ht="15" customHeight="1" s="96">
      <c r="A7" s="149" t="inlineStr">
        <is>
          <t>华泰金属</t>
        </is>
      </c>
      <c r="B7" s="150" t="inlineStr">
        <is>
          <t>2025-03 至 2025-05</t>
        </is>
      </c>
      <c r="C7" s="152">
        <f>SUMIF(加工订单!C:C,A7,加工订单!K:K)</f>
        <v/>
      </c>
      <c r="D7" s="152">
        <f>SUMIF(收款记录!C:C,A7,收款记录!D:D)</f>
        <v/>
      </c>
      <c r="E7" s="152">
        <f>C7-D7</f>
        <v/>
      </c>
    </row>
    <row r="8" ht="15" customHeight="1" s="96">
      <c r="A8" s="147" t="inlineStr">
        <is>
          <t>博远五金</t>
        </is>
      </c>
      <c r="B8" s="148" t="inlineStr">
        <is>
          <t>2025-03 至 2025-05</t>
        </is>
      </c>
      <c r="C8" s="151">
        <f>SUMIF(加工订单!C:C,A8,加工订单!K:K)</f>
        <v/>
      </c>
      <c r="D8" s="151">
        <f>SUMIF(收款记录!C:C,A8,收款记录!D:D)</f>
        <v/>
      </c>
      <c r="E8" s="151">
        <f>C8-D8</f>
        <v/>
      </c>
    </row>
    <row r="9" ht="15" customHeight="1" s="96">
      <c r="A9" s="149" t="inlineStr">
        <is>
          <t>天成铝材</t>
        </is>
      </c>
      <c r="B9" s="150" t="inlineStr">
        <is>
          <t>2025-03 至 2025-05</t>
        </is>
      </c>
      <c r="C9" s="152">
        <f>SUMIF(加工订单!C:C,A9,加工订单!K:K)</f>
        <v/>
      </c>
      <c r="D9" s="152">
        <f>SUMIF(收款记录!C:C,A9,收款记录!D:D)</f>
        <v/>
      </c>
      <c r="E9" s="152">
        <f>C9-D9</f>
        <v/>
      </c>
    </row>
    <row r="10" ht="15" customHeight="1" s="96">
      <c r="A10" s="147" t="inlineStr">
        <is>
          <t>宏盛五金</t>
        </is>
      </c>
      <c r="B10" s="148" t="inlineStr">
        <is>
          <t>2025-03 至 2025-05</t>
        </is>
      </c>
      <c r="C10" s="151">
        <f>SUMIF(加工订单!C:C,A10,加工订单!K:K)</f>
        <v/>
      </c>
      <c r="D10" s="151">
        <f>SUMIF(收款记录!C:C,A10,收款记录!D:D)</f>
        <v/>
      </c>
      <c r="E10" s="151">
        <f>C10-D10</f>
        <v/>
      </c>
    </row>
    <row r="11" ht="15" customHeight="1" s="96">
      <c r="A11" s="149" t="inlineStr">
        <is>
          <t>瑞丰金属</t>
        </is>
      </c>
      <c r="B11" s="150" t="inlineStr">
        <is>
          <t>2025-03 至 2025-05</t>
        </is>
      </c>
      <c r="C11" s="152">
        <f>SUMIF(加工订单!C:C,A11,加工订单!K:K)</f>
        <v/>
      </c>
      <c r="D11" s="152">
        <f>SUMIF(收款记录!C:C,A11,收款记录!D:D)</f>
        <v/>
      </c>
      <c r="E11" s="152">
        <f>C11-D11</f>
        <v/>
      </c>
    </row>
    <row r="12" ht="15" customHeight="1" s="96">
      <c r="A12" s="185" t="inlineStr">
        <is>
          <t>合计</t>
        </is>
      </c>
      <c r="B12" s="186" t="n"/>
      <c r="C12" s="187">
        <f>SUM(C4:C11)</f>
        <v/>
      </c>
      <c r="D12" s="187">
        <f>SUM(D4:D11)</f>
        <v/>
      </c>
      <c r="E12" s="187">
        <f>SUM(E4:E11)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0">
    <tabColor rgb="FFED7D31"/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8" customWidth="1" style="95" min="1" max="1"/>
    <col width="16" customWidth="1" style="95" min="2" max="4"/>
    <col width="12" customWidth="1" style="95" min="5" max="6"/>
  </cols>
  <sheetData>
    <row r="1" ht="15" customHeight="1" s="96">
      <c r="A1" s="155" t="inlineStr">
        <is>
          <t>供应商对账单汇总</t>
        </is>
      </c>
    </row>
    <row r="2" ht="15" customHeight="1" s="96">
      <c r="A2" s="143" t="inlineStr">
        <is>
          <t>对账期间：2025年3月 - 2025年5月</t>
        </is>
      </c>
    </row>
    <row r="3" ht="15" customHeight="1" s="96">
      <c r="A3" s="124" t="inlineStr">
        <is>
          <t>供应商名称</t>
        </is>
      </c>
      <c r="B3" s="124" t="inlineStr">
        <is>
          <t>采购金额合计</t>
        </is>
      </c>
      <c r="C3" s="124" t="inlineStr">
        <is>
          <t>已付金额</t>
        </is>
      </c>
      <c r="D3" s="124" t="inlineStr">
        <is>
          <t>应付余额</t>
        </is>
      </c>
      <c r="E3" s="124" t="inlineStr">
        <is>
          <t>账龄(天)</t>
        </is>
      </c>
      <c r="F3" s="124" t="inlineStr">
        <is>
          <t>状态</t>
        </is>
      </c>
    </row>
    <row r="4" ht="15" customHeight="1" s="96">
      <c r="A4" s="148" t="inlineStr">
        <is>
          <t>XX化工</t>
        </is>
      </c>
      <c r="B4" s="151">
        <f>SUMIF(付款记录!C:C,A4,付款记录!D:D)</f>
        <v/>
      </c>
      <c r="C4" s="151">
        <f>B4</f>
        <v/>
      </c>
      <c r="D4" s="151">
        <f>B4-C4</f>
        <v/>
      </c>
      <c r="E4" s="148" t="inlineStr">
        <is>
          <t>30</t>
        </is>
      </c>
      <c r="F4" s="147" t="inlineStr">
        <is>
          <t>正常</t>
        </is>
      </c>
    </row>
    <row r="5" ht="15" customHeight="1" s="96">
      <c r="A5" s="150" t="inlineStr">
        <is>
          <t>YY化工</t>
        </is>
      </c>
      <c r="B5" s="152">
        <f>SUMIF(付款记录!C:C,A5,付款记录!D:D)</f>
        <v/>
      </c>
      <c r="C5" s="152">
        <f>B5</f>
        <v/>
      </c>
      <c r="D5" s="152">
        <f>B5-C5</f>
        <v/>
      </c>
      <c r="E5" s="150" t="inlineStr">
        <is>
          <t>30</t>
        </is>
      </c>
      <c r="F5" s="149" t="inlineStr">
        <is>
          <t>正常</t>
        </is>
      </c>
    </row>
    <row r="6" ht="15" customHeight="1" s="96">
      <c r="A6" s="148" t="inlineStr">
        <is>
          <t>ZZ挂具厂</t>
        </is>
      </c>
      <c r="B6" s="151">
        <f>SUMIF(付款记录!C:C,A6,付款记录!D:D)</f>
        <v/>
      </c>
      <c r="C6" s="151">
        <f>B6</f>
        <v/>
      </c>
      <c r="D6" s="151">
        <f>B6-C6</f>
        <v/>
      </c>
      <c r="E6" s="148" t="inlineStr">
        <is>
          <t>30</t>
        </is>
      </c>
      <c r="F6" s="147" t="inlineStr">
        <is>
          <t>正常</t>
        </is>
      </c>
    </row>
    <row r="7" ht="15" customHeight="1" s="96">
      <c r="A7" s="150" t="inlineStr">
        <is>
          <t>AA喷砂厂</t>
        </is>
      </c>
      <c r="B7" s="152">
        <f>SUMIF(付款记录!C:C,A7,付款记录!D:D)</f>
        <v/>
      </c>
      <c r="C7" s="152">
        <f>B7</f>
        <v/>
      </c>
      <c r="D7" s="152">
        <f>B7-C7</f>
        <v/>
      </c>
      <c r="E7" s="150" t="inlineStr">
        <is>
          <t>30</t>
        </is>
      </c>
      <c r="F7" s="149" t="inlineStr">
        <is>
          <t>正常</t>
        </is>
      </c>
    </row>
    <row r="8" ht="15" customHeight="1" s="96">
      <c r="A8" s="148" t="inlineStr">
        <is>
          <t>BB抛光厂</t>
        </is>
      </c>
      <c r="B8" s="151">
        <f>SUMIF(付款记录!C:C,A8,付款记录!D:D)</f>
        <v/>
      </c>
      <c r="C8" s="151">
        <f>B8</f>
        <v/>
      </c>
      <c r="D8" s="151">
        <f>B8-C8</f>
        <v/>
      </c>
      <c r="E8" s="148" t="inlineStr">
        <is>
          <t>30</t>
        </is>
      </c>
      <c r="F8" s="147" t="inlineStr">
        <is>
          <t>正常</t>
        </is>
      </c>
    </row>
    <row r="9" ht="15" customHeight="1" s="96">
      <c r="A9" s="185" t="inlineStr">
        <is>
          <t>合计</t>
        </is>
      </c>
      <c r="B9" s="187">
        <f>SUM(B4:B8)</f>
        <v/>
      </c>
      <c r="C9" s="187">
        <f>SUM(C4:C8)</f>
        <v/>
      </c>
      <c r="D9" s="187">
        <f>SUM(D4:D8)</f>
        <v/>
      </c>
      <c r="E9" s="186" t="n"/>
      <c r="F9" s="18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0">
    <tabColor rgb="FFC00000"/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95" min="1" max="1"/>
    <col width="14" customWidth="1" style="95" min="2" max="2"/>
  </cols>
  <sheetData>
    <row r="1" ht="15" customHeight="1" s="96">
      <c r="A1" s="188" t="inlineStr">
        <is>
          <t>税务管理</t>
        </is>
      </c>
    </row>
    <row r="3" ht="15" customHeight="1" s="96">
      <c r="A3" s="146" t="inlineStr">
        <is>
          <t>【增值税（一般纳税人13%）】</t>
        </is>
      </c>
    </row>
    <row r="4" ht="15" customHeight="1" s="96">
      <c r="A4" s="124" t="inlineStr">
        <is>
          <t>项目</t>
        </is>
      </c>
      <c r="B4" s="124" t="inlineStr">
        <is>
          <t>金额(元)</t>
        </is>
      </c>
    </row>
    <row r="5" ht="15" customHeight="1" s="96">
      <c r="A5" s="115" t="inlineStr">
        <is>
          <t>销项税额（加工费收入x13%）</t>
        </is>
      </c>
      <c r="B5" s="116">
        <f>SUMIF(加工订单!L:L,"&gt;0",加工订单!J:J)</f>
        <v/>
      </c>
    </row>
    <row r="6" ht="15" customHeight="1" s="96">
      <c r="A6" s="115" t="inlineStr">
        <is>
          <t>进项税额（材料采购等）</t>
        </is>
      </c>
      <c r="B6" s="116" t="n">
        <v>5000</v>
      </c>
    </row>
    <row r="7" ht="15" customHeight="1" s="96">
      <c r="A7" s="115" t="inlineStr">
        <is>
          <t>应纳增值税额</t>
        </is>
      </c>
      <c r="B7" s="116">
        <f>B5-B6</f>
        <v/>
      </c>
    </row>
    <row r="8" ht="15" customHeight="1" s="96">
      <c r="A8" s="115" t="n"/>
      <c r="B8" s="116" t="n"/>
    </row>
    <row r="9" ht="15" customHeight="1" s="96">
      <c r="A9" s="115" t="inlineStr">
        <is>
          <t>附加税费</t>
        </is>
      </c>
      <c r="B9" s="116" t="n"/>
    </row>
    <row r="10" ht="15" customHeight="1" s="96">
      <c r="A10" s="115" t="inlineStr">
        <is>
          <t xml:space="preserve">  城市维护建设税（7%）</t>
        </is>
      </c>
      <c r="B10" s="116">
        <f>B7*0.07</f>
        <v/>
      </c>
    </row>
    <row r="11" ht="15" customHeight="1" s="96">
      <c r="A11" s="115" t="inlineStr">
        <is>
          <t xml:space="preserve">  教育费附加（3%）</t>
        </is>
      </c>
      <c r="B11" s="116">
        <f>B7*0.03</f>
        <v/>
      </c>
    </row>
    <row r="12" ht="15" customHeight="1" s="96">
      <c r="A12" s="115" t="inlineStr">
        <is>
          <t xml:space="preserve">  地方教育附加（2%）</t>
        </is>
      </c>
      <c r="B12" s="116">
        <f>B7*0.02</f>
        <v/>
      </c>
    </row>
    <row r="13" ht="15" customHeight="1" s="96">
      <c r="A13" s="115" t="inlineStr">
        <is>
          <t xml:space="preserve">  附加税合计</t>
        </is>
      </c>
      <c r="B13" s="116">
        <f>SUM(B10:B12)</f>
        <v/>
      </c>
    </row>
    <row r="15" ht="15" customHeight="1" s="96">
      <c r="A15" s="146" t="inlineStr">
        <is>
          <t>【企业所得税（小型微利企业5%）】</t>
        </is>
      </c>
    </row>
    <row r="16" ht="15" customHeight="1" s="96">
      <c r="A16" s="124" t="inlineStr">
        <is>
          <t>项目</t>
        </is>
      </c>
      <c r="B16" s="124" t="inlineStr">
        <is>
          <t>金额(元)</t>
        </is>
      </c>
    </row>
    <row r="17" ht="15" customHeight="1" s="96">
      <c r="A17" s="115" t="inlineStr">
        <is>
          <t>营业收入</t>
        </is>
      </c>
      <c r="B17" s="116">
        <f>SUM(加工订单!I:I)</f>
        <v/>
      </c>
    </row>
    <row r="18" ht="15" customHeight="1" s="96">
      <c r="A18" s="115" t="inlineStr">
        <is>
          <t>营业成本（费用合计）</t>
        </is>
      </c>
      <c r="B18" s="116">
        <f>SUM(费用明细!C:C)</f>
        <v/>
      </c>
    </row>
    <row r="19" ht="15" customHeight="1" s="96">
      <c r="A19" s="115" t="inlineStr">
        <is>
          <t>利润总额</t>
        </is>
      </c>
      <c r="B19" s="116">
        <f>B17-B18</f>
        <v/>
      </c>
    </row>
    <row r="20" ht="15" customHeight="1" s="96">
      <c r="A20" s="115" t="inlineStr">
        <is>
          <t>应纳税所得额</t>
        </is>
      </c>
      <c r="B20" s="116">
        <f>B19</f>
        <v/>
      </c>
    </row>
    <row r="21" ht="15" customHeight="1" s="96">
      <c r="A21" s="115" t="inlineStr">
        <is>
          <t>适用税率</t>
        </is>
      </c>
      <c r="B21" s="189" t="n">
        <v>0.05</v>
      </c>
    </row>
    <row r="22" ht="15" customHeight="1" s="96">
      <c r="A22" s="115" t="inlineStr">
        <is>
          <t>应纳所得税额</t>
        </is>
      </c>
      <c r="B22" s="116">
        <f>B20*B21</f>
        <v/>
      </c>
    </row>
  </sheetData>
  <mergeCells count="2">
    <mergeCell ref="A3:H3"/>
    <mergeCell ref="A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0">
    <tabColor rgb="FFC00000"/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6" customWidth="1" style="95" min="2" max="3"/>
    <col width="14" customWidth="1" style="95" min="4" max="4"/>
    <col width="8" customWidth="1" style="95" min="5" max="5"/>
    <col width="12" customWidth="1" style="95" min="6" max="6"/>
    <col width="14" customWidth="1" style="95" min="7" max="7"/>
    <col width="10" customWidth="1" style="95" min="8" max="8"/>
  </cols>
  <sheetData>
    <row r="1" ht="15" customHeight="1" s="96">
      <c r="A1" s="155" t="inlineStr">
        <is>
          <t>发票管理</t>
        </is>
      </c>
    </row>
    <row r="3" ht="15" customHeight="1" s="96">
      <c r="A3" s="146" t="inlineStr">
        <is>
          <t>【销项发票】</t>
        </is>
      </c>
    </row>
    <row r="4" ht="15" customHeight="1" s="96">
      <c r="A4" s="124" t="inlineStr">
        <is>
          <t>日期</t>
        </is>
      </c>
      <c r="B4" s="124" t="inlineStr">
        <is>
          <t>发票号</t>
        </is>
      </c>
      <c r="C4" s="124" t="inlineStr">
        <is>
          <t>客户名称</t>
        </is>
      </c>
      <c r="D4" s="124" t="inlineStr">
        <is>
          <t>金额(不含税)</t>
        </is>
      </c>
      <c r="E4" s="124" t="inlineStr">
        <is>
          <t>税率</t>
        </is>
      </c>
      <c r="F4" s="124" t="inlineStr">
        <is>
          <t>税额</t>
        </is>
      </c>
      <c r="G4" s="124" t="inlineStr">
        <is>
          <t>价税合计</t>
        </is>
      </c>
      <c r="H4" s="124" t="inlineStr">
        <is>
          <t>状态</t>
        </is>
      </c>
    </row>
    <row r="5" ht="15" customHeight="1" s="96">
      <c r="A5" s="148" t="inlineStr">
        <is>
          <t>2025-03-05</t>
        </is>
      </c>
      <c r="B5" s="148" t="inlineStr">
        <is>
          <t>XS001001</t>
        </is>
      </c>
      <c r="C5" s="147" t="inlineStr">
        <is>
          <t>天成铝材</t>
        </is>
      </c>
      <c r="D5" s="151" t="n">
        <v>22133.41</v>
      </c>
      <c r="E5" s="190" t="n">
        <v>0.13</v>
      </c>
      <c r="F5" s="151" t="n">
        <v>2877.34</v>
      </c>
      <c r="G5" s="151" t="n">
        <v>25010.75</v>
      </c>
      <c r="H5" s="147" t="inlineStr">
        <is>
          <t>待开</t>
        </is>
      </c>
    </row>
    <row r="6" ht="15" customHeight="1" s="96">
      <c r="A6" s="150" t="inlineStr">
        <is>
          <t>2025-03-04</t>
        </is>
      </c>
      <c r="B6" s="150" t="inlineStr">
        <is>
          <t>XS001002</t>
        </is>
      </c>
      <c r="C6" s="149" t="inlineStr">
        <is>
          <t>瑞丰金属</t>
        </is>
      </c>
      <c r="D6" s="152" t="n">
        <v>3337.65</v>
      </c>
      <c r="E6" s="191" t="n">
        <v>0.13</v>
      </c>
      <c r="F6" s="152" t="n">
        <v>433.89</v>
      </c>
      <c r="G6" s="152" t="n">
        <v>3771.54</v>
      </c>
      <c r="H6" s="149" t="inlineStr">
        <is>
          <t>已开具</t>
        </is>
      </c>
    </row>
    <row r="7" ht="15" customHeight="1" s="96">
      <c r="A7" s="148" t="inlineStr">
        <is>
          <t>2025-03-14</t>
        </is>
      </c>
      <c r="B7" s="148" t="inlineStr">
        <is>
          <t>XS001003</t>
        </is>
      </c>
      <c r="C7" s="147" t="inlineStr">
        <is>
          <t>鑫达精密</t>
        </is>
      </c>
      <c r="D7" s="151" t="n">
        <v>4646.22</v>
      </c>
      <c r="E7" s="190" t="n">
        <v>0.13</v>
      </c>
      <c r="F7" s="151" t="n">
        <v>604.01</v>
      </c>
      <c r="G7" s="151" t="n">
        <v>5250.23</v>
      </c>
      <c r="H7" s="147" t="inlineStr">
        <is>
          <t>已开具</t>
        </is>
      </c>
    </row>
    <row r="8" ht="15" customHeight="1" s="96">
      <c r="A8" s="150" t="inlineStr">
        <is>
          <t>2025-03-11</t>
        </is>
      </c>
      <c r="B8" s="150" t="inlineStr">
        <is>
          <t>XS001004</t>
        </is>
      </c>
      <c r="C8" s="149" t="inlineStr">
        <is>
          <t>宏盛五金</t>
        </is>
      </c>
      <c r="D8" s="152" t="n">
        <v>17296.41</v>
      </c>
      <c r="E8" s="191" t="n">
        <v>0.13</v>
      </c>
      <c r="F8" s="152" t="n">
        <v>2248.53</v>
      </c>
      <c r="G8" s="152" t="n">
        <v>19544.94</v>
      </c>
      <c r="H8" s="149" t="inlineStr">
        <is>
          <t>已开具</t>
        </is>
      </c>
    </row>
    <row r="9" ht="15" customHeight="1" s="96">
      <c r="A9" s="148" t="inlineStr">
        <is>
          <t>2025-04-28</t>
        </is>
      </c>
      <c r="B9" s="148" t="inlineStr">
        <is>
          <t>XS001005</t>
        </is>
      </c>
      <c r="C9" s="147" t="inlineStr">
        <is>
          <t>宏盛五金</t>
        </is>
      </c>
      <c r="D9" s="151" t="n">
        <v>23991.07</v>
      </c>
      <c r="E9" s="190" t="n">
        <v>0.13</v>
      </c>
      <c r="F9" s="151" t="n">
        <v>3118.84</v>
      </c>
      <c r="G9" s="151" t="n">
        <v>27109.91</v>
      </c>
      <c r="H9" s="147" t="inlineStr">
        <is>
          <t>待开</t>
        </is>
      </c>
    </row>
    <row r="10" ht="15" customHeight="1" s="96">
      <c r="A10" s="150" t="inlineStr">
        <is>
          <t>2025-04-28</t>
        </is>
      </c>
      <c r="B10" s="150" t="inlineStr">
        <is>
          <t>XS001006</t>
        </is>
      </c>
      <c r="C10" s="149" t="inlineStr">
        <is>
          <t>永达五金厂</t>
        </is>
      </c>
      <c r="D10" s="152" t="n">
        <v>16584.11</v>
      </c>
      <c r="E10" s="191" t="n">
        <v>0.13</v>
      </c>
      <c r="F10" s="152" t="n">
        <v>2155.93</v>
      </c>
      <c r="G10" s="152" t="n">
        <v>18740.04</v>
      </c>
      <c r="H10" s="149" t="inlineStr">
        <is>
          <t>已开具</t>
        </is>
      </c>
    </row>
    <row r="11" ht="15" customHeight="1" s="96">
      <c r="A11" s="148" t="inlineStr">
        <is>
          <t>2025-04-21</t>
        </is>
      </c>
      <c r="B11" s="148" t="inlineStr">
        <is>
          <t>XS001007</t>
        </is>
      </c>
      <c r="C11" s="147" t="inlineStr">
        <is>
          <t>博远五金</t>
        </is>
      </c>
      <c r="D11" s="151" t="n">
        <v>24943.37</v>
      </c>
      <c r="E11" s="190" t="n">
        <v>0.13</v>
      </c>
      <c r="F11" s="151" t="n">
        <v>3242.64</v>
      </c>
      <c r="G11" s="151" t="n">
        <v>28186.01</v>
      </c>
      <c r="H11" s="147" t="inlineStr">
        <is>
          <t>已开具</t>
        </is>
      </c>
    </row>
    <row r="12" ht="15" customHeight="1" s="96">
      <c r="A12" s="150" t="inlineStr">
        <is>
          <t>2025-04-14</t>
        </is>
      </c>
      <c r="B12" s="150" t="inlineStr">
        <is>
          <t>XS001008</t>
        </is>
      </c>
      <c r="C12" s="149" t="inlineStr">
        <is>
          <t>恒丰铝业</t>
        </is>
      </c>
      <c r="D12" s="152" t="n">
        <v>19728.13</v>
      </c>
      <c r="E12" s="191" t="n">
        <v>0.13</v>
      </c>
      <c r="F12" s="152" t="n">
        <v>2564.66</v>
      </c>
      <c r="G12" s="152" t="n">
        <v>22292.79</v>
      </c>
      <c r="H12" s="149" t="inlineStr">
        <is>
          <t>已开具</t>
        </is>
      </c>
    </row>
    <row r="13" ht="15" customHeight="1" s="96">
      <c r="A13" s="148" t="inlineStr">
        <is>
          <t>2025-04-15</t>
        </is>
      </c>
      <c r="B13" s="148" t="inlineStr">
        <is>
          <t>XS001009</t>
        </is>
      </c>
      <c r="C13" s="147" t="inlineStr">
        <is>
          <t>鑫达精密</t>
        </is>
      </c>
      <c r="D13" s="151" t="n">
        <v>18268.03</v>
      </c>
      <c r="E13" s="190" t="n">
        <v>0.13</v>
      </c>
      <c r="F13" s="151" t="n">
        <v>2374.84</v>
      </c>
      <c r="G13" s="151" t="n">
        <v>20642.87</v>
      </c>
      <c r="H13" s="147" t="inlineStr">
        <is>
          <t>已开具</t>
        </is>
      </c>
    </row>
    <row r="14" ht="15" customHeight="1" s="96">
      <c r="A14" s="150" t="inlineStr">
        <is>
          <t>2025-04-02</t>
        </is>
      </c>
      <c r="B14" s="150" t="inlineStr">
        <is>
          <t>XS001010</t>
        </is>
      </c>
      <c r="C14" s="149" t="inlineStr">
        <is>
          <t>天成铝材</t>
        </is>
      </c>
      <c r="D14" s="152" t="n">
        <v>20515.16</v>
      </c>
      <c r="E14" s="191" t="n">
        <v>0.13</v>
      </c>
      <c r="F14" s="152" t="n">
        <v>2666.97</v>
      </c>
      <c r="G14" s="152" t="n">
        <v>23182.13</v>
      </c>
      <c r="H14" s="149" t="inlineStr">
        <is>
          <t>已开具</t>
        </is>
      </c>
    </row>
    <row r="15" ht="15" customHeight="1" s="96">
      <c r="A15" s="148" t="inlineStr">
        <is>
          <t>2025-05-12</t>
        </is>
      </c>
      <c r="B15" s="148" t="inlineStr">
        <is>
          <t>XS001011</t>
        </is>
      </c>
      <c r="C15" s="147" t="inlineStr">
        <is>
          <t>宏盛五金</t>
        </is>
      </c>
      <c r="D15" s="151" t="n">
        <v>6202.54</v>
      </c>
      <c r="E15" s="190" t="n">
        <v>0.13</v>
      </c>
      <c r="F15" s="151" t="n">
        <v>806.33</v>
      </c>
      <c r="G15" s="151" t="n">
        <v>7008.87</v>
      </c>
      <c r="H15" s="147" t="inlineStr">
        <is>
          <t>待开</t>
        </is>
      </c>
    </row>
    <row r="16" ht="15" customHeight="1" s="96">
      <c r="A16" s="150" t="inlineStr">
        <is>
          <t>2025-05-22</t>
        </is>
      </c>
      <c r="B16" s="150" t="inlineStr">
        <is>
          <t>XS001012</t>
        </is>
      </c>
      <c r="C16" s="149" t="inlineStr">
        <is>
          <t>鑫达精密</t>
        </is>
      </c>
      <c r="D16" s="152" t="n">
        <v>6739.64</v>
      </c>
      <c r="E16" s="191" t="n">
        <v>0.13</v>
      </c>
      <c r="F16" s="152" t="n">
        <v>876.15</v>
      </c>
      <c r="G16" s="152" t="n">
        <v>7615.79</v>
      </c>
      <c r="H16" s="149" t="inlineStr">
        <is>
          <t>待开</t>
        </is>
      </c>
    </row>
    <row r="17" ht="15" customHeight="1" s="96">
      <c r="A17" s="148" t="inlineStr">
        <is>
          <t>2025-05-28</t>
        </is>
      </c>
      <c r="B17" s="148" t="inlineStr">
        <is>
          <t>XS001013</t>
        </is>
      </c>
      <c r="C17" s="147" t="inlineStr">
        <is>
          <t>宏盛五金</t>
        </is>
      </c>
      <c r="D17" s="151" t="n">
        <v>16633.63</v>
      </c>
      <c r="E17" s="190" t="n">
        <v>0.13</v>
      </c>
      <c r="F17" s="151" t="n">
        <v>2162.37</v>
      </c>
      <c r="G17" s="151" t="n">
        <v>18796</v>
      </c>
      <c r="H17" s="147" t="inlineStr">
        <is>
          <t>待开</t>
        </is>
      </c>
    </row>
    <row r="18" ht="15" customHeight="1" s="96">
      <c r="A18" s="150" t="inlineStr">
        <is>
          <t>2025-05-19</t>
        </is>
      </c>
      <c r="B18" s="150" t="inlineStr">
        <is>
          <t>XS001014</t>
        </is>
      </c>
      <c r="C18" s="149" t="inlineStr">
        <is>
          <t>鑫达精密</t>
        </is>
      </c>
      <c r="D18" s="152" t="n">
        <v>8108.15</v>
      </c>
      <c r="E18" s="191" t="n">
        <v>0.13</v>
      </c>
      <c r="F18" s="152" t="n">
        <v>1054.06</v>
      </c>
      <c r="G18" s="152" t="n">
        <v>9162.209999999999</v>
      </c>
      <c r="H18" s="149" t="inlineStr">
        <is>
          <t>待开</t>
        </is>
      </c>
    </row>
    <row r="19" ht="15" customHeight="1" s="96">
      <c r="A19" s="148" t="inlineStr">
        <is>
          <t>2025-05-09</t>
        </is>
      </c>
      <c r="B19" s="148" t="inlineStr">
        <is>
          <t>XS001015</t>
        </is>
      </c>
      <c r="C19" s="147" t="inlineStr">
        <is>
          <t>永达五金厂</t>
        </is>
      </c>
      <c r="D19" s="151" t="n">
        <v>22775.99</v>
      </c>
      <c r="E19" s="190" t="n">
        <v>0.13</v>
      </c>
      <c r="F19" s="151" t="n">
        <v>2960.88</v>
      </c>
      <c r="G19" s="151" t="n">
        <v>25736.87</v>
      </c>
      <c r="H19" s="147" t="inlineStr">
        <is>
          <t>待开</t>
        </is>
      </c>
    </row>
    <row r="20" ht="15" customHeight="1" s="96">
      <c r="A20" s="185" t="inlineStr">
        <is>
          <t>合计</t>
        </is>
      </c>
      <c r="D20" s="187">
        <f>SUM(D5:D19)</f>
        <v/>
      </c>
      <c r="F20" s="187">
        <f>SUM(F5:F19)</f>
        <v/>
      </c>
      <c r="G20" s="187">
        <f>SUM(G5:G19)</f>
        <v/>
      </c>
    </row>
    <row r="22" ht="15" customHeight="1" s="96">
      <c r="A22" s="146" t="inlineStr">
        <is>
          <t>【进项发票】</t>
        </is>
      </c>
    </row>
    <row r="23" ht="15" customHeight="1" s="96">
      <c r="A23" s="124" t="inlineStr">
        <is>
          <t>日期</t>
        </is>
      </c>
      <c r="B23" s="124" t="inlineStr">
        <is>
          <t>发票号</t>
        </is>
      </c>
      <c r="C23" s="124" t="inlineStr">
        <is>
          <t>供应商名称</t>
        </is>
      </c>
      <c r="D23" s="124" t="inlineStr">
        <is>
          <t>金额(不含税)</t>
        </is>
      </c>
      <c r="E23" s="124" t="inlineStr">
        <is>
          <t>税率</t>
        </is>
      </c>
      <c r="F23" s="124" t="inlineStr">
        <is>
          <t>税额</t>
        </is>
      </c>
      <c r="G23" s="124" t="inlineStr">
        <is>
          <t>价税合计</t>
        </is>
      </c>
      <c r="H23" s="124" t="inlineStr">
        <is>
          <t>状态</t>
        </is>
      </c>
    </row>
    <row r="24" ht="15" customHeight="1" s="96">
      <c r="A24" s="148" t="inlineStr">
        <is>
          <t>2025-03-18</t>
        </is>
      </c>
      <c r="B24" s="148" t="inlineStr">
        <is>
          <t>JX002001</t>
        </is>
      </c>
      <c r="C24" s="148" t="inlineStr">
        <is>
          <t>YY化工</t>
        </is>
      </c>
      <c r="D24" s="151" t="n">
        <v>2034.07</v>
      </c>
      <c r="E24" s="190" t="n">
        <v>0.13</v>
      </c>
      <c r="F24" s="151" t="n">
        <v>264.43</v>
      </c>
      <c r="G24" s="151" t="n">
        <v>2298.5</v>
      </c>
      <c r="H24" s="147" t="inlineStr">
        <is>
          <t>已收票</t>
        </is>
      </c>
    </row>
    <row r="25" ht="15" customHeight="1" s="96">
      <c r="A25" s="150" t="inlineStr">
        <is>
          <t>2025-03-19</t>
        </is>
      </c>
      <c r="B25" s="150" t="inlineStr">
        <is>
          <t>JX002002</t>
        </is>
      </c>
      <c r="C25" s="150" t="inlineStr">
        <is>
          <t>ZZ挂具厂</t>
        </is>
      </c>
      <c r="D25" s="152" t="n">
        <v>9945.139999999999</v>
      </c>
      <c r="E25" s="191" t="n">
        <v>0.13</v>
      </c>
      <c r="F25" s="152" t="n">
        <v>1292.87</v>
      </c>
      <c r="G25" s="152" t="n">
        <v>11238.01</v>
      </c>
      <c r="H25" s="149" t="inlineStr">
        <is>
          <t>已收票</t>
        </is>
      </c>
    </row>
    <row r="26" ht="15" customHeight="1" s="96">
      <c r="A26" s="148" t="inlineStr">
        <is>
          <t>2025-03-23</t>
        </is>
      </c>
      <c r="B26" s="148" t="inlineStr">
        <is>
          <t>JX002003</t>
        </is>
      </c>
      <c r="C26" s="148" t="inlineStr">
        <is>
          <t>ZZ挂具厂</t>
        </is>
      </c>
      <c r="D26" s="151" t="n">
        <v>7395.7</v>
      </c>
      <c r="E26" s="190" t="n">
        <v>0.13</v>
      </c>
      <c r="F26" s="151" t="n">
        <v>961.4400000000001</v>
      </c>
      <c r="G26" s="151" t="n">
        <v>8357.139999999999</v>
      </c>
      <c r="H26" s="147" t="inlineStr">
        <is>
          <t>已收票</t>
        </is>
      </c>
    </row>
    <row r="27" ht="15" customHeight="1" s="96">
      <c r="A27" s="150" t="inlineStr">
        <is>
          <t>2025-03-07</t>
        </is>
      </c>
      <c r="B27" s="150" t="inlineStr">
        <is>
          <t>JX002004</t>
        </is>
      </c>
      <c r="C27" s="150" t="inlineStr">
        <is>
          <t>AA喷砂厂</t>
        </is>
      </c>
      <c r="D27" s="152" t="n">
        <v>12946.7</v>
      </c>
      <c r="E27" s="191" t="n">
        <v>0.13</v>
      </c>
      <c r="F27" s="152" t="n">
        <v>1683.07</v>
      </c>
      <c r="G27" s="152" t="n">
        <v>14629.77</v>
      </c>
      <c r="H27" s="149" t="inlineStr">
        <is>
          <t>已收票</t>
        </is>
      </c>
    </row>
    <row r="28" ht="15" customHeight="1" s="96">
      <c r="A28" s="148" t="inlineStr">
        <is>
          <t>2025-04-13</t>
        </is>
      </c>
      <c r="B28" s="148" t="inlineStr">
        <is>
          <t>JX002005</t>
        </is>
      </c>
      <c r="C28" s="148" t="inlineStr">
        <is>
          <t>BB抛光厂</t>
        </is>
      </c>
      <c r="D28" s="151" t="n">
        <v>6025.43</v>
      </c>
      <c r="E28" s="190" t="n">
        <v>0.13</v>
      </c>
      <c r="F28" s="151" t="n">
        <v>783.3099999999999</v>
      </c>
      <c r="G28" s="151" t="n">
        <v>6808.74</v>
      </c>
      <c r="H28" s="147" t="inlineStr">
        <is>
          <t>已收票</t>
        </is>
      </c>
    </row>
    <row r="29" ht="15" customHeight="1" s="96">
      <c r="A29" s="150" t="inlineStr">
        <is>
          <t>2025-04-23</t>
        </is>
      </c>
      <c r="B29" s="150" t="inlineStr">
        <is>
          <t>JX002006</t>
        </is>
      </c>
      <c r="C29" s="150" t="inlineStr">
        <is>
          <t>ZZ挂具厂</t>
        </is>
      </c>
      <c r="D29" s="152" t="n">
        <v>1307.15</v>
      </c>
      <c r="E29" s="191" t="n">
        <v>0.13</v>
      </c>
      <c r="F29" s="152" t="n">
        <v>169.93</v>
      </c>
      <c r="G29" s="152" t="n">
        <v>1477.08</v>
      </c>
      <c r="H29" s="149" t="inlineStr">
        <is>
          <t>待收</t>
        </is>
      </c>
    </row>
    <row r="30" ht="15" customHeight="1" s="96">
      <c r="A30" s="148" t="inlineStr">
        <is>
          <t>2025-05-09</t>
        </is>
      </c>
      <c r="B30" s="148" t="inlineStr">
        <is>
          <t>JX002007</t>
        </is>
      </c>
      <c r="C30" s="148" t="inlineStr">
        <is>
          <t>XX化工</t>
        </is>
      </c>
      <c r="D30" s="151" t="n">
        <v>8923.01</v>
      </c>
      <c r="E30" s="190" t="n">
        <v>0.13</v>
      </c>
      <c r="F30" s="151" t="n">
        <v>1159.99</v>
      </c>
      <c r="G30" s="151" t="n">
        <v>10083</v>
      </c>
      <c r="H30" s="147" t="inlineStr">
        <is>
          <t>待收</t>
        </is>
      </c>
    </row>
    <row r="31" ht="15" customHeight="1" s="96">
      <c r="A31" s="150" t="inlineStr">
        <is>
          <t>2025-05-02</t>
        </is>
      </c>
      <c r="B31" s="150" t="inlineStr">
        <is>
          <t>JX002008</t>
        </is>
      </c>
      <c r="C31" s="150" t="inlineStr">
        <is>
          <t>BB抛光厂</t>
        </is>
      </c>
      <c r="D31" s="152" t="n">
        <v>11432.41</v>
      </c>
      <c r="E31" s="191" t="n">
        <v>0.13</v>
      </c>
      <c r="F31" s="152" t="n">
        <v>1486.21</v>
      </c>
      <c r="G31" s="152" t="n">
        <v>12918.62</v>
      </c>
      <c r="H31" s="149" t="inlineStr">
        <is>
          <t>已收票</t>
        </is>
      </c>
    </row>
    <row r="32" ht="15" customHeight="1" s="96">
      <c r="A32" s="148" t="inlineStr">
        <is>
          <t>2025-05-20</t>
        </is>
      </c>
      <c r="B32" s="148" t="inlineStr">
        <is>
          <t>JX002009</t>
        </is>
      </c>
      <c r="C32" s="148" t="inlineStr">
        <is>
          <t>ZZ挂具厂</t>
        </is>
      </c>
      <c r="D32" s="151" t="n">
        <v>4066.06</v>
      </c>
      <c r="E32" s="190" t="n">
        <v>0.13</v>
      </c>
      <c r="F32" s="151" t="n">
        <v>528.59</v>
      </c>
      <c r="G32" s="151" t="n">
        <v>4594.65</v>
      </c>
      <c r="H32" s="147" t="inlineStr">
        <is>
          <t>待收</t>
        </is>
      </c>
    </row>
    <row r="33" ht="15" customHeight="1" s="96">
      <c r="A33" s="185" t="inlineStr">
        <is>
          <t>合计</t>
        </is>
      </c>
      <c r="D33" s="187">
        <f>SUM(D24:D32)</f>
        <v/>
      </c>
      <c r="F33" s="187">
        <f>SUM(F24:F32)</f>
        <v/>
      </c>
      <c r="G33" s="187">
        <f>SUM(G24:G32)</f>
        <v/>
      </c>
    </row>
  </sheetData>
  <mergeCells count="2">
    <mergeCell ref="A3:H3"/>
    <mergeCell ref="A22:H22"/>
  </mergeCells>
  <dataValidations count="2">
    <dataValidation sqref="H5:H19" showDropDown="0" showInputMessage="0" showErrorMessage="0" allowBlank="1" type="list" errorStyle="stop" operator="between">
      <formula1>"已开具,待开"</formula1>
      <formula2>0</formula2>
    </dataValidation>
    <dataValidation sqref="H24:H32" showDropDown="0" showInputMessage="0" showErrorMessage="0" allowBlank="1" type="list" errorStyle="stop" operator="between">
      <formula1>"已收票,待收"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0">
    <tabColor rgb="FFFF6B6B"/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5" customWidth="1" style="95" min="1" max="1"/>
    <col width="6" customWidth="1" style="95" min="2" max="2"/>
    <col width="14" customWidth="1" style="95" min="3" max="4"/>
  </cols>
  <sheetData>
    <row r="1" ht="15" customHeight="1" s="96">
      <c r="A1" s="188" t="inlineStr">
        <is>
          <t>利润表</t>
        </is>
      </c>
    </row>
    <row r="2" ht="15" customHeight="1" s="96">
      <c r="A2" s="143" t="inlineStr">
        <is>
          <t>会小企02表    编制单位：XX氧化加工厂    2025年5月    单位：元</t>
        </is>
      </c>
    </row>
    <row r="3" ht="15" customHeight="1" s="96">
      <c r="A3" s="124" t="inlineStr">
        <is>
          <t>项目</t>
        </is>
      </c>
      <c r="B3" s="124" t="inlineStr">
        <is>
          <t>行次</t>
        </is>
      </c>
      <c r="C3" s="124" t="inlineStr">
        <is>
          <t>本期金额</t>
        </is>
      </c>
      <c r="D3" s="124" t="inlineStr">
        <is>
          <t>本年累计</t>
        </is>
      </c>
    </row>
    <row r="4" ht="15" customHeight="1" s="96">
      <c r="A4" s="192" t="inlineStr">
        <is>
          <t>一、营业收入（加工费收入）</t>
        </is>
      </c>
      <c r="B4" s="193" t="n">
        <v>1</v>
      </c>
      <c r="C4" s="182">
        <f>SUMIF(加工订单!A:A,"2025-05*",加工订单!I:I)</f>
        <v/>
      </c>
      <c r="D4" s="182">
        <f>SUM(加工订单!I:I)</f>
        <v/>
      </c>
    </row>
    <row r="5" ht="15" customHeight="1" s="96">
      <c r="A5" s="139" t="inlineStr">
        <is>
          <t>减：营业成本</t>
        </is>
      </c>
      <c r="B5" s="147" t="n">
        <v>2</v>
      </c>
      <c r="C5" s="151">
        <f>SUMIF(费用明细!E:E,"2025-05",费用明细!C:C)</f>
        <v/>
      </c>
      <c r="D5" s="151">
        <f>SUM(费用明细!C:C)</f>
        <v/>
      </c>
    </row>
    <row r="6" ht="15" customHeight="1" s="96">
      <c r="A6" s="139" t="inlineStr">
        <is>
          <t xml:space="preserve">  营业税金及附加</t>
        </is>
      </c>
      <c r="B6" s="147" t="n">
        <v>3</v>
      </c>
      <c r="C6" s="151">
        <f>税务管理!B12</f>
        <v/>
      </c>
      <c r="D6" s="151">
        <f>税务管理!B12</f>
        <v/>
      </c>
    </row>
    <row r="7" ht="15" customHeight="1" s="96">
      <c r="A7" s="139" t="inlineStr">
        <is>
          <t xml:space="preserve">  销售费用</t>
        </is>
      </c>
      <c r="B7" s="147" t="n">
        <v>10</v>
      </c>
      <c r="C7" s="147" t="n">
        <v>0</v>
      </c>
      <c r="D7" s="147" t="n">
        <v>0</v>
      </c>
    </row>
    <row r="8" ht="15" customHeight="1" s="96">
      <c r="A8" s="139" t="inlineStr">
        <is>
          <t xml:space="preserve">  管理费用</t>
        </is>
      </c>
      <c r="B8" s="147" t="n">
        <v>13</v>
      </c>
      <c r="C8" s="147" t="n">
        <v>0</v>
      </c>
      <c r="D8" s="147" t="n">
        <v>0</v>
      </c>
    </row>
    <row r="9" ht="15" customHeight="1" s="96">
      <c r="A9" s="139" t="inlineStr">
        <is>
          <t xml:space="preserve">  财务费用</t>
        </is>
      </c>
      <c r="B9" s="147" t="n">
        <v>17</v>
      </c>
      <c r="C9" s="147" t="n">
        <v>0</v>
      </c>
      <c r="D9" s="147" t="n">
        <v>0</v>
      </c>
    </row>
    <row r="10" ht="15" customHeight="1" s="96">
      <c r="A10" s="192" t="inlineStr">
        <is>
          <t>二、营业利润</t>
        </is>
      </c>
      <c r="B10" s="193" t="n">
        <v>20</v>
      </c>
      <c r="C10" s="182">
        <f>C4-C5-C6-C7-C8-C9</f>
        <v/>
      </c>
      <c r="D10" s="182">
        <f>D4-D5-D6-D7-D8-D9</f>
        <v/>
      </c>
    </row>
    <row r="11" ht="15" customHeight="1" s="96">
      <c r="A11" s="139" t="inlineStr">
        <is>
          <t>加：营业外收入</t>
        </is>
      </c>
      <c r="B11" s="147" t="n">
        <v>21</v>
      </c>
      <c r="C11" s="147" t="n">
        <v>0</v>
      </c>
      <c r="D11" s="147" t="n">
        <v>0</v>
      </c>
    </row>
    <row r="12" ht="15" customHeight="1" s="96">
      <c r="A12" s="139" t="inlineStr">
        <is>
          <t>减：营业外支出</t>
        </is>
      </c>
      <c r="B12" s="147" t="n">
        <v>23</v>
      </c>
      <c r="C12" s="147" t="n">
        <v>0</v>
      </c>
      <c r="D12" s="147" t="n">
        <v>0</v>
      </c>
    </row>
    <row r="13" ht="15" customHeight="1" s="96">
      <c r="A13" s="192" t="inlineStr">
        <is>
          <t>三、利润总额</t>
        </is>
      </c>
      <c r="B13" s="193" t="n">
        <v>29</v>
      </c>
      <c r="C13" s="182">
        <f>C11+C12-C13</f>
        <v/>
      </c>
      <c r="D13" s="182">
        <f>D11+D12-D13</f>
        <v/>
      </c>
    </row>
    <row r="14" ht="15" customHeight="1" s="96">
      <c r="A14" s="139" t="inlineStr">
        <is>
          <t>减：所得税费用</t>
        </is>
      </c>
      <c r="B14" s="147" t="n">
        <v>30</v>
      </c>
      <c r="C14" s="151">
        <f>税务管理!B22</f>
        <v/>
      </c>
      <c r="D14" s="151">
        <f>税务管理!B22</f>
        <v/>
      </c>
    </row>
    <row r="15" ht="15" customHeight="1" s="96">
      <c r="A15" s="192" t="inlineStr">
        <is>
          <t>四、净利润</t>
        </is>
      </c>
      <c r="B15" s="193" t="n">
        <v>31</v>
      </c>
      <c r="C15" s="182">
        <f>C15-C16</f>
        <v/>
      </c>
      <c r="D15" s="182">
        <f>D15-D16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0">
    <tabColor rgb="FFFF6B6B"/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95" min="1" max="1"/>
    <col width="6" customWidth="1" style="95" min="2" max="2"/>
    <col width="14" customWidth="1" style="95" min="3" max="3"/>
    <col width="28" customWidth="1" style="95" min="4" max="4"/>
    <col width="14" customWidth="1" style="95" min="5" max="5"/>
  </cols>
  <sheetData>
    <row r="1" ht="15" customHeight="1" s="96">
      <c r="A1" s="188" t="inlineStr">
        <is>
          <t>资产负债表</t>
        </is>
      </c>
    </row>
    <row r="2" ht="15" customHeight="1" s="96">
      <c r="A2" s="143" t="inlineStr">
        <is>
          <t>会小企01表    编制单位：XX氧化加工厂    2025年5月31日    单位：元</t>
        </is>
      </c>
    </row>
    <row r="3" ht="15" customHeight="1" s="96">
      <c r="A3" s="124" t="inlineStr">
        <is>
          <t>资产</t>
        </is>
      </c>
      <c r="B3" s="124" t="inlineStr">
        <is>
          <t>行次</t>
        </is>
      </c>
      <c r="C3" s="124" t="inlineStr">
        <is>
          <t>期末余额</t>
        </is>
      </c>
      <c r="D3" s="124" t="inlineStr">
        <is>
          <t>负债和所有者权益</t>
        </is>
      </c>
      <c r="E3" s="124" t="inlineStr">
        <is>
          <t>期末余额</t>
        </is>
      </c>
    </row>
    <row r="4" ht="15" customHeight="1" s="96">
      <c r="A4" s="192" t="inlineStr">
        <is>
          <t>流动资产：</t>
        </is>
      </c>
      <c r="B4" s="193" t="n"/>
      <c r="C4" s="193" t="n"/>
      <c r="D4" s="192" t="inlineStr">
        <is>
          <t>流动负债：</t>
        </is>
      </c>
      <c r="E4" s="193" t="n"/>
    </row>
    <row r="5" ht="15" customHeight="1" s="96">
      <c r="A5" s="139" t="inlineStr">
        <is>
          <t xml:space="preserve">  货币资金（G银行+N银行/微信）</t>
        </is>
      </c>
      <c r="B5" s="147" t="n">
        <v>1</v>
      </c>
      <c r="C5" s="151" t="n">
        <v>267710.92</v>
      </c>
      <c r="D5" s="139" t="inlineStr">
        <is>
          <t xml:space="preserve">  应付账款</t>
        </is>
      </c>
      <c r="E5" s="151" t="n">
        <v>0</v>
      </c>
    </row>
    <row r="6" ht="15" customHeight="1" s="96">
      <c r="A6" s="139" t="inlineStr">
        <is>
          <t xml:space="preserve">  应收账款</t>
        </is>
      </c>
      <c r="B6" s="147" t="n">
        <v>4</v>
      </c>
      <c r="C6" s="151" t="n">
        <v>0</v>
      </c>
      <c r="D6" s="139" t="inlineStr">
        <is>
          <t xml:space="preserve">  应付职工薪酬</t>
        </is>
      </c>
      <c r="E6" s="151" t="n">
        <v>0</v>
      </c>
    </row>
    <row r="7" ht="15" customHeight="1" s="96">
      <c r="A7" s="139" t="inlineStr">
        <is>
          <t xml:space="preserve">  存货（材料）</t>
        </is>
      </c>
      <c r="B7" s="147" t="n">
        <v>9</v>
      </c>
      <c r="C7" s="151" t="n">
        <v>5000</v>
      </c>
      <c r="D7" s="139" t="inlineStr">
        <is>
          <t xml:space="preserve">  应交税费</t>
        </is>
      </c>
      <c r="E7" s="151" t="n">
        <v>0</v>
      </c>
    </row>
    <row r="8" ht="15" customHeight="1" s="96">
      <c r="A8" s="139" t="inlineStr">
        <is>
          <t xml:space="preserve">  其他应收款</t>
        </is>
      </c>
      <c r="B8" s="147" t="n">
        <v>8</v>
      </c>
      <c r="C8" s="151" t="n">
        <v>0</v>
      </c>
      <c r="D8" s="139" t="inlineStr">
        <is>
          <t xml:space="preserve">  其他应付款</t>
        </is>
      </c>
      <c r="E8" s="151" t="n">
        <v>0</v>
      </c>
    </row>
    <row r="9" ht="15" customHeight="1" s="96">
      <c r="A9" s="192" t="inlineStr">
        <is>
          <t>流动资产合计</t>
        </is>
      </c>
      <c r="B9" s="193" t="n">
        <v>15</v>
      </c>
      <c r="C9" s="182">
        <f>C5+C6+C7+C8</f>
        <v/>
      </c>
      <c r="D9" s="192" t="inlineStr">
        <is>
          <t>流动负债合计</t>
        </is>
      </c>
      <c r="E9" s="182">
        <f>SUM(F5:F9)</f>
        <v/>
      </c>
    </row>
    <row r="10" ht="15" customHeight="1" s="96">
      <c r="A10" s="139" t="n"/>
      <c r="B10" s="147" t="n"/>
      <c r="C10" s="147" t="n"/>
      <c r="D10" s="139" t="n"/>
      <c r="E10" s="147" t="n"/>
    </row>
    <row r="11" ht="15" customHeight="1" s="96">
      <c r="A11" s="192" t="inlineStr">
        <is>
          <t>非流动资产：</t>
        </is>
      </c>
      <c r="B11" s="193" t="n"/>
      <c r="C11" s="193" t="n"/>
      <c r="D11" s="192" t="inlineStr">
        <is>
          <t>非流动负债：</t>
        </is>
      </c>
      <c r="E11" s="193" t="n"/>
    </row>
    <row r="12" ht="15" customHeight="1" s="96">
      <c r="A12" s="139" t="inlineStr">
        <is>
          <t xml:space="preserve">  固定资产</t>
        </is>
      </c>
      <c r="B12" s="147" t="n">
        <v>18</v>
      </c>
      <c r="C12" s="151" t="n">
        <v>50000</v>
      </c>
      <c r="D12" s="139" t="inlineStr">
        <is>
          <t xml:space="preserve">  长期借款</t>
        </is>
      </c>
      <c r="E12" s="151" t="n">
        <v>0</v>
      </c>
    </row>
    <row r="13" ht="15" customHeight="1" s="96">
      <c r="A13" s="192" t="inlineStr">
        <is>
          <t xml:space="preserve">  减：累计折旧</t>
        </is>
      </c>
      <c r="B13" s="193" t="n">
        <v>19</v>
      </c>
      <c r="C13" s="182" t="n">
        <v>5000</v>
      </c>
      <c r="D13" s="192" t="inlineStr">
        <is>
          <t>非流动负债合计</t>
        </is>
      </c>
      <c r="E13" s="182" t="n">
        <v>0</v>
      </c>
    </row>
    <row r="14" ht="15" customHeight="1" s="96">
      <c r="A14" s="139" t="inlineStr">
        <is>
          <t xml:space="preserve">  固定资产账面价值</t>
        </is>
      </c>
      <c r="B14" s="147" t="n">
        <v>20</v>
      </c>
      <c r="C14" s="151">
        <f>C12-C13</f>
        <v/>
      </c>
      <c r="D14" s="139" t="inlineStr">
        <is>
          <t>负债合计</t>
        </is>
      </c>
      <c r="E14" s="151">
        <f>F10+F15</f>
        <v/>
      </c>
    </row>
    <row r="15" ht="15" customHeight="1" s="96">
      <c r="A15" s="192" t="inlineStr">
        <is>
          <t>非流动资产合计</t>
        </is>
      </c>
      <c r="B15" s="193" t="n">
        <v>29</v>
      </c>
      <c r="C15" s="182">
        <f>C14</f>
        <v/>
      </c>
      <c r="D15" s="192" t="n"/>
      <c r="E15" s="193" t="n"/>
    </row>
    <row r="16" ht="15" customHeight="1" s="96">
      <c r="A16" s="139" t="n"/>
      <c r="B16" s="147" t="n"/>
      <c r="C16" s="147" t="n"/>
      <c r="D16" s="139" t="inlineStr">
        <is>
          <t>所有者权益：</t>
        </is>
      </c>
      <c r="E16" s="147" t="n"/>
    </row>
    <row r="17" ht="15" customHeight="1" s="96">
      <c r="A17" s="139" t="n"/>
      <c r="B17" s="147" t="n"/>
      <c r="C17" s="147" t="n"/>
      <c r="D17" s="139" t="inlineStr">
        <is>
          <t xml:space="preserve">  实收资本</t>
        </is>
      </c>
      <c r="E17" s="151" t="n">
        <v>100000</v>
      </c>
    </row>
    <row r="18" ht="15" customHeight="1" s="96">
      <c r="A18" s="139" t="n"/>
      <c r="B18" s="147" t="n"/>
      <c r="C18" s="147" t="n"/>
      <c r="D18" s="139" t="inlineStr">
        <is>
          <t xml:space="preserve">  未分配利润</t>
        </is>
      </c>
      <c r="E18" s="151">
        <f>C6+C9-C10-F16</f>
        <v/>
      </c>
    </row>
    <row r="19" ht="15" customHeight="1" s="96">
      <c r="A19" s="139" t="n"/>
      <c r="B19" s="147" t="n"/>
      <c r="C19" s="147" t="n"/>
      <c r="D19" s="139" t="inlineStr">
        <is>
          <t>所有者权益合计</t>
        </is>
      </c>
      <c r="E19" s="151">
        <f>F18+F19</f>
        <v/>
      </c>
    </row>
    <row r="20" ht="15" customHeight="1" s="96">
      <c r="A20" s="139" t="n"/>
      <c r="B20" s="147" t="n"/>
      <c r="C20" s="147" t="n"/>
      <c r="D20" s="139" t="n"/>
      <c r="E20" s="147" t="n"/>
    </row>
    <row r="21" ht="15" customHeight="1" s="96">
      <c r="A21" s="192" t="inlineStr">
        <is>
          <t>资产总计</t>
        </is>
      </c>
      <c r="B21" s="193" t="n">
        <v>30</v>
      </c>
      <c r="C21" s="182">
        <f>C9+C15</f>
        <v/>
      </c>
      <c r="D21" s="192" t="inlineStr">
        <is>
          <t>负债和所有者权益总计</t>
        </is>
      </c>
      <c r="E21" s="182">
        <f>F16+F20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r:id="rId1"/>
</worksheet>
</file>

<file path=xl/worksheets/sheet21.xml><?xml version="1.0" encoding="utf-8"?>
<worksheet xmlns="http://schemas.openxmlformats.org/spreadsheetml/2006/main">
  <sheetPr filterMode="0">
    <tabColor rgb="FF5B9BD5"/>
    <outlinePr summaryBelow="1" summaryRight="1"/>
    <pageSetUpPr fitToPage="0"/>
  </sheetPr>
  <dimension ref="A1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95" min="1" max="1"/>
    <col width="10" customWidth="1" style="95" min="2" max="2"/>
    <col width="12" customWidth="1" style="95" min="3" max="3"/>
    <col width="16" customWidth="1" style="95" min="4" max="4"/>
    <col width="12" customWidth="1" style="95" min="5" max="5"/>
    <col width="10" customWidth="1" style="95" min="6" max="6"/>
  </cols>
  <sheetData>
    <row r="1" ht="15" customHeight="1" s="96">
      <c r="A1" s="188" t="inlineStr">
        <is>
          <t>经营分析图表</t>
        </is>
      </c>
    </row>
    <row r="3" ht="15" customHeight="1" s="96">
      <c r="A3" s="146" t="inlineStr">
        <is>
          <t>【月度经营数据】</t>
        </is>
      </c>
    </row>
    <row r="4" ht="15" customHeight="1" s="96">
      <c r="A4" s="124" t="inlineStr">
        <is>
          <t>月份</t>
        </is>
      </c>
      <c r="B4" s="124" t="inlineStr">
        <is>
          <t>营业收入</t>
        </is>
      </c>
      <c r="C4" s="124" t="inlineStr">
        <is>
          <t>营业成本</t>
        </is>
      </c>
      <c r="D4" s="124" t="inlineStr">
        <is>
          <t>净利润</t>
        </is>
      </c>
    </row>
    <row r="5" ht="15" customHeight="1" s="96">
      <c r="A5" s="186" t="inlineStr">
        <is>
          <t>2025-03</t>
        </is>
      </c>
      <c r="B5" s="116" t="n">
        <v>134544.68</v>
      </c>
      <c r="C5" s="116" t="n">
        <v>51989.7</v>
      </c>
      <c r="D5" s="116" t="n">
        <v>82554.98</v>
      </c>
    </row>
    <row r="6" ht="15" customHeight="1" s="96">
      <c r="A6" s="186" t="inlineStr">
        <is>
          <t>2025-04</t>
        </is>
      </c>
      <c r="B6" s="116" t="n">
        <v>51354.28</v>
      </c>
      <c r="C6" s="116" t="n">
        <v>50023.73</v>
      </c>
      <c r="D6" s="116" t="n">
        <v>1330.55</v>
      </c>
    </row>
    <row r="7" ht="15" customHeight="1" s="96">
      <c r="A7" s="186" t="inlineStr">
        <is>
          <t>2025-05</t>
        </is>
      </c>
      <c r="B7" s="116" t="n">
        <v>139969.65</v>
      </c>
      <c r="C7" s="116" t="n">
        <v>53640.5</v>
      </c>
      <c r="D7" s="116" t="n">
        <v>86329.14999999999</v>
      </c>
    </row>
    <row r="9" ht="15" customHeight="1" s="96">
      <c r="A9" s="146" t="inlineStr">
        <is>
          <t>【客户排名（按收入）】</t>
        </is>
      </c>
    </row>
    <row r="10" ht="15" customHeight="1" s="96">
      <c r="A10" s="124" t="inlineStr">
        <is>
          <t>客户名称</t>
        </is>
      </c>
      <c r="B10" s="124" t="inlineStr">
        <is>
          <t>累计金额(元)</t>
        </is>
      </c>
    </row>
    <row r="11" ht="15" customHeight="1" s="96">
      <c r="A11" s="194" t="inlineStr">
        <is>
          <t>华泰金属</t>
        </is>
      </c>
      <c r="B11" s="116" t="n">
        <v>130632.72</v>
      </c>
    </row>
    <row r="12" ht="15" customHeight="1" s="96">
      <c r="A12" s="194" t="inlineStr">
        <is>
          <t>瑞丰金属</t>
        </is>
      </c>
      <c r="B12" s="116" t="n">
        <v>60407.22</v>
      </c>
    </row>
    <row r="13" ht="15" customHeight="1" s="96">
      <c r="A13" s="194" t="inlineStr">
        <is>
          <t>博远五金</t>
        </is>
      </c>
      <c r="B13" s="116" t="n">
        <v>52604.39</v>
      </c>
    </row>
    <row r="14" ht="15" customHeight="1" s="96">
      <c r="A14" s="194" t="inlineStr">
        <is>
          <t>永达五金厂</t>
        </is>
      </c>
      <c r="B14" s="116" t="n">
        <v>27425.65</v>
      </c>
    </row>
    <row r="15" ht="15" customHeight="1" s="96">
      <c r="A15" s="194" t="inlineStr">
        <is>
          <t>宏盛五金</t>
        </is>
      </c>
      <c r="B15" s="116" t="n">
        <v>26157.78</v>
      </c>
    </row>
    <row r="16" ht="15" customHeight="1" s="96">
      <c r="A16" s="194" t="inlineStr">
        <is>
          <t>恒丰铝业</t>
        </is>
      </c>
      <c r="B16" s="116" t="n">
        <v>15983.93</v>
      </c>
    </row>
    <row r="17" ht="15" customHeight="1" s="96">
      <c r="A17" s="194" t="inlineStr">
        <is>
          <t>天成铝材</t>
        </is>
      </c>
      <c r="B17" s="116" t="n">
        <v>7759.73</v>
      </c>
    </row>
    <row r="18" ht="15" customHeight="1" s="96">
      <c r="A18" s="194" t="inlineStr">
        <is>
          <t>鑫达精密</t>
        </is>
      </c>
      <c r="B18" s="116" t="n">
        <v>4897.19</v>
      </c>
    </row>
    <row r="20" ht="15" customHeight="1" s="96">
      <c r="A20" s="146" t="inlineStr">
        <is>
          <t>【成本结构分析】</t>
        </is>
      </c>
    </row>
    <row r="21" ht="15" customHeight="1" s="96">
      <c r="A21" s="124" t="inlineStr">
        <is>
          <t>费用项目</t>
        </is>
      </c>
      <c r="B21" s="124" t="inlineStr">
        <is>
          <t>金额(元)</t>
        </is>
      </c>
    </row>
    <row r="22" ht="15" customHeight="1" s="96">
      <c r="A22" s="194" t="inlineStr">
        <is>
          <t>工资</t>
        </is>
      </c>
      <c r="B22" s="116" t="n">
        <v>92610.14</v>
      </c>
    </row>
    <row r="23" ht="15" customHeight="1" s="96">
      <c r="A23" s="194" t="inlineStr">
        <is>
          <t>房租</t>
        </is>
      </c>
      <c r="B23" s="116" t="n">
        <v>24000</v>
      </c>
    </row>
    <row r="24" ht="15" customHeight="1" s="96">
      <c r="A24" s="194" t="inlineStr">
        <is>
          <t>化工材料</t>
        </is>
      </c>
      <c r="B24" s="116" t="n">
        <v>16362.23</v>
      </c>
    </row>
    <row r="25" ht="15" customHeight="1" s="96">
      <c r="A25" s="194" t="inlineStr">
        <is>
          <t>水电费</t>
        </is>
      </c>
      <c r="B25" s="116" t="n">
        <v>13139.93</v>
      </c>
    </row>
    <row r="26" ht="15" customHeight="1" s="96">
      <c r="A26" s="194" t="inlineStr">
        <is>
          <t>委外加工费</t>
        </is>
      </c>
      <c r="B26" s="116" t="n">
        <v>7002.07</v>
      </c>
    </row>
    <row r="27" ht="15" customHeight="1" s="96">
      <c r="A27" s="194" t="inlineStr">
        <is>
          <t>日常费用</t>
        </is>
      </c>
      <c r="B27" s="116" t="n">
        <v>1515.06</v>
      </c>
    </row>
    <row r="28" ht="15" customHeight="1" s="96">
      <c r="A28" s="194" t="inlineStr">
        <is>
          <t>亚硝酸钠</t>
        </is>
      </c>
      <c r="B28" s="116" t="n">
        <v>1024.5</v>
      </c>
    </row>
    <row r="30" ht="15" customHeight="1" s="96">
      <c r="A30" s="146" t="inlineStr">
        <is>
          <t>【产品利润分析】</t>
        </is>
      </c>
    </row>
    <row r="31" ht="15" customHeight="1" s="96">
      <c r="A31" s="124" t="inlineStr">
        <is>
          <t>产品名称</t>
        </is>
      </c>
      <c r="B31" s="124" t="inlineStr">
        <is>
          <t>订单数</t>
        </is>
      </c>
      <c r="C31" s="124" t="inlineStr">
        <is>
          <t>总数量</t>
        </is>
      </c>
      <c r="D31" s="124" t="inlineStr">
        <is>
          <t>总金额(不含税)</t>
        </is>
      </c>
      <c r="E31" s="124" t="inlineStr">
        <is>
          <t>平均单价</t>
        </is>
      </c>
      <c r="F31" s="124" t="inlineStr">
        <is>
          <t>占比</t>
        </is>
      </c>
    </row>
    <row r="32" ht="15" customHeight="1" s="96">
      <c r="A32" s="115" t="inlineStr">
        <is>
          <t>铝板氧化</t>
        </is>
      </c>
      <c r="B32" s="147" t="n">
        <v>6</v>
      </c>
      <c r="C32" s="147" t="n">
        <v>7147</v>
      </c>
      <c r="D32" s="116" t="n">
        <v>172832.91</v>
      </c>
      <c r="E32" s="116" t="n">
        <v>24.18</v>
      </c>
      <c r="F32" s="195" t="n">
        <v>0.530376061689403</v>
      </c>
    </row>
    <row r="33" ht="15" customHeight="1" s="96">
      <c r="A33" s="115" t="inlineStr">
        <is>
          <t>铝件氧化-香槟</t>
        </is>
      </c>
      <c r="B33" s="147" t="n">
        <v>4</v>
      </c>
      <c r="C33" s="147" t="n">
        <v>5096</v>
      </c>
      <c r="D33" s="116" t="n">
        <v>23519.67</v>
      </c>
      <c r="E33" s="116" t="n">
        <v>4.62</v>
      </c>
      <c r="F33" s="195" t="n">
        <v>0.0721753163030953</v>
      </c>
    </row>
    <row r="34" ht="15" customHeight="1" s="96">
      <c r="A34" s="115" t="inlineStr">
        <is>
          <t>铝件氧化-银白</t>
        </is>
      </c>
      <c r="B34" s="147" t="n">
        <v>5</v>
      </c>
      <c r="C34" s="147" t="n">
        <v>5204</v>
      </c>
      <c r="D34" s="116" t="n">
        <v>17558.67</v>
      </c>
      <c r="E34" s="116" t="n">
        <v>3.37</v>
      </c>
      <c r="F34" s="195" t="n">
        <v>0.0538826676187068</v>
      </c>
    </row>
    <row r="35" ht="15" customHeight="1" s="96">
      <c r="A35" s="115" t="inlineStr">
        <is>
          <t>铝件氧化-黑色</t>
        </is>
      </c>
      <c r="B35" s="147" t="n">
        <v>5</v>
      </c>
      <c r="C35" s="147" t="n">
        <v>4227</v>
      </c>
      <c r="D35" s="116" t="n">
        <v>16549.04</v>
      </c>
      <c r="E35" s="116" t="n">
        <v>3.92</v>
      </c>
      <c r="F35" s="195" t="n">
        <v>0.0507843943606597</v>
      </c>
    </row>
    <row r="36" ht="15" customHeight="1" s="96">
      <c r="A36" s="115" t="inlineStr">
        <is>
          <t>铜件氧化</t>
        </is>
      </c>
      <c r="B36" s="147" t="n">
        <v>9</v>
      </c>
      <c r="C36" s="147" t="n">
        <v>10862</v>
      </c>
      <c r="D36" s="116" t="n">
        <v>16291.5</v>
      </c>
      <c r="E36" s="116" t="n">
        <v>1.5</v>
      </c>
      <c r="F36" s="195" t="n">
        <v>0.0499940758332016</v>
      </c>
    </row>
    <row r="37" ht="15" customHeight="1" s="96">
      <c r="A37" s="115" t="inlineStr">
        <is>
          <t>铝管氧化</t>
        </is>
      </c>
      <c r="B37" s="147" t="n">
        <v>7</v>
      </c>
      <c r="C37" s="147" t="n">
        <v>7705</v>
      </c>
      <c r="D37" s="116" t="n">
        <v>14198.23</v>
      </c>
      <c r="E37" s="116" t="n">
        <v>1.84</v>
      </c>
      <c r="F37" s="195" t="n">
        <v>0.0435704132410913</v>
      </c>
    </row>
    <row r="38" ht="15" customHeight="1" s="96">
      <c r="A38" s="115" t="inlineStr">
        <is>
          <t>铝件氧化-蓝色</t>
        </is>
      </c>
      <c r="B38" s="147" t="n">
        <v>2</v>
      </c>
      <c r="C38" s="147" t="n">
        <v>2812</v>
      </c>
      <c r="D38" s="116" t="n">
        <v>13623.53</v>
      </c>
      <c r="E38" s="116" t="n">
        <v>4.84</v>
      </c>
      <c r="F38" s="195" t="n">
        <v>0.0418068190121166</v>
      </c>
    </row>
    <row r="39" ht="15" customHeight="1" s="96">
      <c r="A39" s="115" t="inlineStr">
        <is>
          <t>铝件喷砂+氧化</t>
        </is>
      </c>
      <c r="B39" s="147" t="n">
        <v>5</v>
      </c>
      <c r="C39" s="147" t="n">
        <v>4693</v>
      </c>
      <c r="D39" s="116" t="n">
        <v>9252.59</v>
      </c>
      <c r="E39" s="116" t="n">
        <v>1.97</v>
      </c>
      <c r="F39" s="195" t="n">
        <v>0.0283936215887747</v>
      </c>
    </row>
    <row r="40" ht="15" customHeight="1" s="96">
      <c r="A40" s="115" t="inlineStr">
        <is>
          <t>铝件喷砂(委外)</t>
        </is>
      </c>
      <c r="B40" s="147" t="n">
        <v>4</v>
      </c>
      <c r="C40" s="147" t="n">
        <v>5349</v>
      </c>
      <c r="D40" s="116" t="n">
        <v>7936.48</v>
      </c>
      <c r="E40" s="116" t="n">
        <v>1.48</v>
      </c>
      <c r="F40" s="195" t="n">
        <v>0.0243548465745136</v>
      </c>
    </row>
    <row r="41" ht="15" customHeight="1" s="96">
      <c r="A41" s="115" t="inlineStr">
        <is>
          <t>铝件抛光+氧化</t>
        </is>
      </c>
      <c r="B41" s="147" t="n">
        <v>2</v>
      </c>
      <c r="C41" s="147" t="n">
        <v>2188</v>
      </c>
      <c r="D41" s="116" t="n">
        <v>6631.09</v>
      </c>
      <c r="E41" s="116" t="n">
        <v>3.03</v>
      </c>
      <c r="F41" s="195" t="n">
        <v>0.0203489682544139</v>
      </c>
    </row>
  </sheetData>
  <mergeCells count="4">
    <mergeCell ref="A9:H9"/>
    <mergeCell ref="A20:H20"/>
    <mergeCell ref="A3:H3"/>
    <mergeCell ref="A30:H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filterMode="0">
    <tabColor rgb="FF5B9BD5"/>
    <outlinePr summaryBelow="1" summaryRight="1"/>
    <pageSetUpPr fitToPage="0"/>
  </sheetPr>
  <dimension ref="A1:G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0" customWidth="1" style="95" min="2" max="2"/>
    <col width="18" customWidth="1" style="95" min="3" max="3"/>
    <col width="14" customWidth="1" style="95" min="4" max="4"/>
    <col width="16" customWidth="1" style="95" min="5" max="7"/>
  </cols>
  <sheetData>
    <row r="1" ht="15" customHeight="1" s="96">
      <c r="A1" s="155" t="inlineStr">
        <is>
          <t>月度经营汇总</t>
        </is>
      </c>
    </row>
    <row r="2" ht="15" customHeight="1" s="96">
      <c r="A2" s="124" t="inlineStr">
        <is>
          <t>月份</t>
        </is>
      </c>
      <c r="B2" s="124" t="inlineStr">
        <is>
          <t>订单数</t>
        </is>
      </c>
      <c r="C2" s="124" t="inlineStr">
        <is>
          <t>营业收入(不含税)</t>
        </is>
      </c>
      <c r="D2" s="124" t="inlineStr">
        <is>
          <t>税额</t>
        </is>
      </c>
      <c r="E2" s="124" t="inlineStr">
        <is>
          <t>价税合计</t>
        </is>
      </c>
      <c r="F2" s="124" t="inlineStr">
        <is>
          <t>费用合计</t>
        </is>
      </c>
      <c r="G2" s="124" t="inlineStr">
        <is>
          <t>利润</t>
        </is>
      </c>
    </row>
    <row r="3" ht="15" customHeight="1" s="96">
      <c r="A3" s="148" t="inlineStr">
        <is>
          <t>2025-03</t>
        </is>
      </c>
      <c r="B3" s="147">
        <f>SUMPRODUCT((LEFT(加工订单!A:A,7)="2025-03")*1)</f>
        <v/>
      </c>
      <c r="C3" s="151">
        <f>SUMPRODUCT((LEFT(加工订单!A:A,7)="2025-03")*加工订单!I:I)</f>
        <v/>
      </c>
      <c r="D3" s="151">
        <f>SUMPRODUCT((LEFT(加工订单!A:A,7)="2025-03")*加工订单!J:J)</f>
        <v/>
      </c>
      <c r="E3" s="151">
        <f>SUMPRODUCT((LEFT(加工订单!A:A,7)="2025-03")*加工订单!K:K)</f>
        <v/>
      </c>
      <c r="F3" s="151">
        <f>SUMPRODUCT((费用明细!E:E="2025-03")*费用明细!C:C)</f>
        <v/>
      </c>
      <c r="G3" s="151">
        <f>C3-F3</f>
        <v/>
      </c>
    </row>
    <row r="4" ht="15" customHeight="1" s="96">
      <c r="A4" s="150" t="inlineStr">
        <is>
          <t>2025-04</t>
        </is>
      </c>
      <c r="B4" s="149">
        <f>SUMPRODUCT((LEFT(加工订单!A:A,7)="2025-04")*1)</f>
        <v/>
      </c>
      <c r="C4" s="152">
        <f>SUMPRODUCT((LEFT(加工订单!A:A,7)="2025-04")*加工订单!I:I)</f>
        <v/>
      </c>
      <c r="D4" s="152">
        <f>SUMPRODUCT((LEFT(加工订单!A:A,7)="2025-04")*加工订单!J:J)</f>
        <v/>
      </c>
      <c r="E4" s="152">
        <f>SUMPRODUCT((LEFT(加工订单!A:A,7)="2025-04")*加工订单!K:K)</f>
        <v/>
      </c>
      <c r="F4" s="152">
        <f>SUMPRODUCT((费用明细!E:E="2025-04")*费用明细!C:C)</f>
        <v/>
      </c>
      <c r="G4" s="152">
        <f>C4-F4</f>
        <v/>
      </c>
    </row>
    <row r="5" ht="15" customHeight="1" s="96">
      <c r="A5" s="148" t="inlineStr">
        <is>
          <t>2025-05</t>
        </is>
      </c>
      <c r="B5" s="147">
        <f>SUMPRODUCT((LEFT(加工订单!A:A,7)="2025-05")*1)</f>
        <v/>
      </c>
      <c r="C5" s="151">
        <f>SUMPRODUCT((LEFT(加工订单!A:A,7)="2025-05")*加工订单!I:I)</f>
        <v/>
      </c>
      <c r="D5" s="151">
        <f>SUMPRODUCT((LEFT(加工订单!A:A,7)="2025-05")*加工订单!J:J)</f>
        <v/>
      </c>
      <c r="E5" s="151">
        <f>SUMPRODUCT((LEFT(加工订单!A:A,7)="2025-05")*加工订单!K:K)</f>
        <v/>
      </c>
      <c r="F5" s="151">
        <f>SUMPRODUCT((费用明细!E:E="2025-05")*费用明细!C:C)</f>
        <v/>
      </c>
      <c r="G5" s="151">
        <f>C5-F5</f>
        <v/>
      </c>
    </row>
    <row r="6" ht="15" customHeight="1" s="96">
      <c r="A6" s="185" t="inlineStr">
        <is>
          <t>合计</t>
        </is>
      </c>
      <c r="B6" s="185">
        <f>SUM(B3:B5)</f>
        <v/>
      </c>
      <c r="C6" s="187">
        <f>SUM(C3:C5)</f>
        <v/>
      </c>
      <c r="D6" s="187">
        <f>SUM(D3:D5)</f>
        <v/>
      </c>
      <c r="E6" s="187">
        <f>SUM(E3:E5)</f>
        <v/>
      </c>
      <c r="F6" s="187">
        <f>SUM(F3:F5)</f>
        <v/>
      </c>
      <c r="G6" s="187">
        <f>SUM(G3:G5)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0">
    <tabColor rgb="FF7030A0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2" customWidth="1" style="95" min="1" max="1"/>
    <col width="10" customWidth="1" style="95" min="2" max="2"/>
    <col width="16" customWidth="1" style="95" min="3" max="5"/>
    <col width="12" customWidth="1" style="95" min="6" max="8"/>
  </cols>
  <sheetData>
    <row r="1" ht="15" customHeight="1" s="96">
      <c r="A1" s="155" t="inlineStr">
        <is>
          <t>年度对比分析</t>
        </is>
      </c>
    </row>
    <row r="2" ht="15" customHeight="1" s="96">
      <c r="A2" s="143" t="inlineStr">
        <is>
          <t>各月经营数据对比与环比分析</t>
        </is>
      </c>
    </row>
    <row r="3" ht="15" customHeight="1" s="96">
      <c r="A3" s="124" t="inlineStr">
        <is>
          <t>月份</t>
        </is>
      </c>
      <c r="B3" s="124" t="inlineStr">
        <is>
          <t>订单数</t>
        </is>
      </c>
      <c r="C3" s="124" t="inlineStr">
        <is>
          <t>营业收入</t>
        </is>
      </c>
      <c r="D3" s="124" t="inlineStr">
        <is>
          <t>费用合计</t>
        </is>
      </c>
      <c r="E3" s="124" t="inlineStr">
        <is>
          <t>净利润</t>
        </is>
      </c>
      <c r="F3" s="124" t="inlineStr">
        <is>
          <t>毛利率</t>
        </is>
      </c>
      <c r="G3" s="124" t="inlineStr">
        <is>
          <t>收入环比</t>
        </is>
      </c>
      <c r="H3" s="124" t="inlineStr">
        <is>
          <t>利润环比</t>
        </is>
      </c>
    </row>
    <row r="4" ht="15" customHeight="1" s="96">
      <c r="A4" s="125" t="inlineStr">
        <is>
          <t>2025-03</t>
        </is>
      </c>
      <c r="B4" s="196">
        <f>SUMPRODUCT((LEFT(加工订单!A:A,7)="2025-03")*1)</f>
        <v/>
      </c>
      <c r="C4" s="116">
        <f>SUMPRODUCT((LEFT(加工订单!A:A,7)="2025-03")*加工订单!I:I)</f>
        <v/>
      </c>
      <c r="D4" s="116">
        <f>SUMPRODUCT((费用明细!E:E="2025-03")*费用明细!C:C)</f>
        <v/>
      </c>
      <c r="E4" s="116">
        <f>C4-D4</f>
        <v/>
      </c>
      <c r="F4" s="195">
        <f>IF(C4&gt;0,(C4-D4)/C4,0)</f>
        <v/>
      </c>
      <c r="G4" s="196" t="inlineStr">
        <is>
          <t>-</t>
        </is>
      </c>
      <c r="H4" s="196" t="inlineStr">
        <is>
          <t>-</t>
        </is>
      </c>
    </row>
    <row r="5" ht="15" customHeight="1" s="96">
      <c r="A5" s="127" t="inlineStr">
        <is>
          <t>2025-04</t>
        </is>
      </c>
      <c r="B5" s="197">
        <f>SUMPRODUCT((LEFT(加工订单!A:A,7)="2025-04")*1)</f>
        <v/>
      </c>
      <c r="C5" s="119">
        <f>SUMPRODUCT((LEFT(加工订单!A:A,7)="2025-04")*加工订单!I:I)</f>
        <v/>
      </c>
      <c r="D5" s="119">
        <f>SUMPRODUCT((费用明细!E:E="2025-04")*费用明细!C:C)</f>
        <v/>
      </c>
      <c r="E5" s="119">
        <f>C5-D5</f>
        <v/>
      </c>
      <c r="F5" s="198">
        <f>IF(C5&gt;0,(C5-D5)/C5,0)</f>
        <v/>
      </c>
      <c r="G5" s="198">
        <f>IF(C4&gt;0,(C5-C4)/C4,0)</f>
        <v/>
      </c>
      <c r="H5" s="198">
        <f>IF(E4&gt;0,(E5-E4)/E4,0)</f>
        <v/>
      </c>
    </row>
    <row r="6" ht="15" customHeight="1" s="96">
      <c r="A6" s="125" t="inlineStr">
        <is>
          <t>2025-05</t>
        </is>
      </c>
      <c r="B6" s="196">
        <f>SUMPRODUCT((LEFT(加工订单!A:A,7)="2025-05")*1)</f>
        <v/>
      </c>
      <c r="C6" s="116">
        <f>SUMPRODUCT((LEFT(加工订单!A:A,7)="2025-05")*加工订单!I:I)</f>
        <v/>
      </c>
      <c r="D6" s="116">
        <f>SUMPRODUCT((费用明细!E:E="2025-05")*费用明细!C:C)</f>
        <v/>
      </c>
      <c r="E6" s="116">
        <f>C6-D6</f>
        <v/>
      </c>
      <c r="F6" s="195">
        <f>IF(C6&gt;0,(C6-D6)/C6,0)</f>
        <v/>
      </c>
      <c r="G6" s="195">
        <f>IF(C5&gt;0,(C6-C5)/C5,0)</f>
        <v/>
      </c>
      <c r="H6" s="195">
        <f>IF(E5&gt;0,(E6-E5)/E5,0)</f>
        <v/>
      </c>
    </row>
    <row r="7" ht="15" customHeight="1" s="96">
      <c r="A7" s="185" t="inlineStr">
        <is>
          <t>累计合计</t>
        </is>
      </c>
      <c r="B7" s="193">
        <f>SUM(B4:B6)</f>
        <v/>
      </c>
      <c r="C7" s="187">
        <f>SUM(C4:C6)</f>
        <v/>
      </c>
      <c r="D7" s="187">
        <f>SUM(D4:D6)</f>
        <v/>
      </c>
      <c r="E7" s="187">
        <f>SUM(E4:E6)</f>
        <v/>
      </c>
      <c r="F7" s="199">
        <f>IF(C7&gt;0,(C7-D7)/C7,0)</f>
        <v/>
      </c>
      <c r="G7" s="186" t="n"/>
      <c r="H7" s="18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filterMode="0">
    <tabColor rgb="FFFF0000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5" customWidth="1" style="95" min="1" max="1"/>
    <col width="18" customWidth="1" style="95" min="2" max="3"/>
    <col width="12" customWidth="1" style="95" min="4" max="4"/>
  </cols>
  <sheetData>
    <row r="1" ht="15" customHeight="1" s="96">
      <c r="A1" s="155" t="inlineStr">
        <is>
          <t>数据一致性校验</t>
        </is>
      </c>
    </row>
    <row r="2" ht="15" customHeight="1" s="96">
      <c r="A2" s="143" t="inlineStr">
        <is>
          <t>校验时间：2025年5月31日</t>
        </is>
      </c>
    </row>
    <row r="3" ht="15" customHeight="1" s="96">
      <c r="A3" s="124" t="inlineStr">
        <is>
          <t>校验内容</t>
        </is>
      </c>
      <c r="B3" s="124" t="inlineStr">
        <is>
          <t>预期值</t>
        </is>
      </c>
      <c r="C3" s="124" t="inlineStr">
        <is>
          <t>实际值</t>
        </is>
      </c>
      <c r="D3" s="124" t="inlineStr">
        <is>
          <t>状态</t>
        </is>
      </c>
    </row>
    <row r="4" ht="15" customHeight="1" s="96">
      <c r="A4" s="148" t="inlineStr">
        <is>
          <t>G银行期末余额</t>
        </is>
      </c>
      <c r="B4" s="151">
        <f>G银行!F35</f>
        <v/>
      </c>
      <c r="C4" s="151">
        <f>G银行!F35</f>
        <v/>
      </c>
      <c r="D4" s="147">
        <f>IF(ABS(B4-C4)&lt;0.01,"通过","异常")</f>
        <v/>
      </c>
    </row>
    <row r="5" ht="15" customHeight="1" s="96">
      <c r="A5" s="150" t="inlineStr">
        <is>
          <t>N银行期末余额</t>
        </is>
      </c>
      <c r="B5" s="152">
        <f>N银行微信!F55</f>
        <v/>
      </c>
      <c r="C5" s="152">
        <f>N银行微信!F55</f>
        <v/>
      </c>
      <c r="D5" s="149">
        <f>IF(ABS(B5-C5)&lt;0.01,"通过","异常")</f>
        <v/>
      </c>
    </row>
    <row r="6" ht="15" customHeight="1" s="96">
      <c r="A6" s="147" t="inlineStr">
        <is>
          <t>收款合计</t>
        </is>
      </c>
      <c r="B6" s="151">
        <f>收款记录!D41</f>
        <v/>
      </c>
      <c r="C6" s="151">
        <f>SUM(收款记录!D2:D40)</f>
        <v/>
      </c>
      <c r="D6" s="147">
        <f>IF(ABS(B6-C6)&lt;0.01,"通过","异常")</f>
        <v/>
      </c>
    </row>
    <row r="7" ht="15" customHeight="1" s="96">
      <c r="A7" s="149" t="inlineStr">
        <is>
          <t>付款合计</t>
        </is>
      </c>
      <c r="B7" s="152">
        <f>付款记录!D40</f>
        <v/>
      </c>
      <c r="C7" s="152">
        <f>SUM(付款记录!D2:D39)</f>
        <v/>
      </c>
      <c r="D7" s="149">
        <f>IF(ABS(B7-C7)&lt;0.01,"通过","异常")</f>
        <v/>
      </c>
    </row>
    <row r="8" ht="15" customHeight="1" s="96">
      <c r="A8" s="147" t="inlineStr">
        <is>
          <t>订单金额合计</t>
        </is>
      </c>
      <c r="B8" s="151">
        <f>SUM(加工订单!K:K)</f>
        <v/>
      </c>
      <c r="C8" s="151">
        <f>SUM(加工订单!K:K)</f>
        <v/>
      </c>
      <c r="D8" s="147">
        <f>IF(ABS(B8-C8)&lt;0.01,"通过","异常")</f>
        <v/>
      </c>
    </row>
    <row r="9" ht="15" customHeight="1" s="96">
      <c r="A9" s="149" t="inlineStr">
        <is>
          <t>应收余额合计</t>
        </is>
      </c>
      <c r="B9" s="152">
        <f>SUM(应收应付!D3:D10)</f>
        <v/>
      </c>
      <c r="C9" s="152">
        <f>SUM(应收应付!D3:D10)</f>
        <v/>
      </c>
      <c r="D9" s="149">
        <f>IF(ABS(B9-C9)&lt;0.01,"通过","异常")</f>
        <v/>
      </c>
    </row>
    <row r="10" ht="15" customHeight="1" s="96">
      <c r="A10" s="147" t="inlineStr">
        <is>
          <t>应付余额合计</t>
        </is>
      </c>
      <c r="B10" s="151">
        <f>SUMPRODUCT((应收应付!D14:D18))</f>
        <v/>
      </c>
      <c r="C10" s="151">
        <f>SUMPRODUCT((应收应付!D14:D18))</f>
        <v/>
      </c>
      <c r="D10" s="147">
        <f>IF(ABS(B10-C10)&lt;0.01,"通过","异常")</f>
        <v/>
      </c>
    </row>
    <row r="11" ht="15" customHeight="1" s="96">
      <c r="A11" s="149" t="inlineStr">
        <is>
          <t>利润表平衡</t>
        </is>
      </c>
      <c r="B11" s="152">
        <f>利润表!C16</f>
        <v/>
      </c>
      <c r="C11" s="152">
        <f>利润表!C4-利润表!C5-利润表!C6-利润表!C7-利润表!C8-利润表!C9-利润表!C16</f>
        <v/>
      </c>
      <c r="D11" s="149">
        <f>IF(ABS(B11-C11)&lt;0.01,"通过","异常")</f>
        <v/>
      </c>
    </row>
  </sheetData>
  <conditionalFormatting sqref="D4:D11">
    <cfRule type="expression" rank="0" priority="2" equalAverage="0" aboveAverage="0" dxfId="5" text="" percent="0" bottom="0">
      <formula>SEARCH("异常",D4)&gt;0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filterMode="0">
    <tabColor rgb="FF808080"/>
    <outlinePr summaryBelow="1" summaryRight="1"/>
    <pageSetUpPr fitToPage="0"/>
  </sheetPr>
  <dimension ref="A1:K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2" customWidth="1" style="95" min="1" max="2"/>
    <col width="22" customWidth="1" style="95" min="3" max="3"/>
    <col width="14" customWidth="1" style="95" min="4" max="6"/>
    <col width="10" customWidth="1" style="95" min="7" max="7"/>
    <col width="12" customWidth="1" style="95" min="8" max="8"/>
    <col width="14" customWidth="1" style="95" min="9" max="9"/>
    <col width="10" customWidth="1" style="95" min="10" max="10"/>
    <col width="12" customWidth="1" style="95" min="11" max="11"/>
  </cols>
  <sheetData>
    <row r="1" ht="34.5" customHeight="1" s="96">
      <c r="A1" s="200" t="inlineStr">
        <is>
          <t>永达五金厂 对账单</t>
        </is>
      </c>
    </row>
    <row r="2" ht="15" customHeight="1" s="96">
      <c r="A2" s="201" t="inlineStr">
        <is>
          <t>对账期间：2025年3月 - 2025年5月</t>
        </is>
      </c>
    </row>
    <row r="3" ht="15" customHeight="1" s="96">
      <c r="A3" s="202" t="inlineStr">
        <is>
          <t>打印日期：2025年5月31日</t>
        </is>
      </c>
    </row>
    <row r="5" ht="15" customHeight="1" s="96">
      <c r="A5" s="124" t="inlineStr">
        <is>
          <t>序号</t>
        </is>
      </c>
      <c r="B5" s="124" t="inlineStr">
        <is>
          <t>日期</t>
        </is>
      </c>
      <c r="C5" s="124" t="inlineStr">
        <is>
          <t>订单号</t>
        </is>
      </c>
      <c r="D5" s="124" t="inlineStr">
        <is>
          <t>产品名称</t>
        </is>
      </c>
      <c r="E5" s="124" t="inlineStr">
        <is>
          <t>金额(不含税)</t>
        </is>
      </c>
      <c r="F5" s="124" t="inlineStr">
        <is>
          <t>价税合计</t>
        </is>
      </c>
    </row>
    <row r="6" ht="15" customHeight="1" s="96">
      <c r="A6" s="147" t="n">
        <v>1</v>
      </c>
      <c r="B6" s="125" t="inlineStr">
        <is>
          <t>2025-03-04</t>
        </is>
      </c>
      <c r="C6" s="125" t="inlineStr">
        <is>
          <t>DD20250304001</t>
        </is>
      </c>
      <c r="D6" s="115" t="inlineStr">
        <is>
          <t>铝板氧化</t>
        </is>
      </c>
      <c r="E6" s="116" t="n">
        <v>12248.38</v>
      </c>
      <c r="F6" s="116" t="n">
        <v>13840.67</v>
      </c>
    </row>
    <row r="7" ht="15" customHeight="1" s="96">
      <c r="A7" s="149" t="n">
        <v>2</v>
      </c>
      <c r="B7" s="127" t="inlineStr">
        <is>
          <t>2025-03-17</t>
        </is>
      </c>
      <c r="C7" s="127" t="inlineStr">
        <is>
          <t>DD20250317003</t>
        </is>
      </c>
      <c r="D7" s="118" t="inlineStr">
        <is>
          <t>铝件抛光+氧化</t>
        </is>
      </c>
      <c r="E7" s="119" t="n">
        <v>4512.67</v>
      </c>
      <c r="F7" s="119" t="n">
        <v>5099.32</v>
      </c>
    </row>
    <row r="8" ht="15" customHeight="1" s="96">
      <c r="A8" s="147" t="n">
        <v>3</v>
      </c>
      <c r="B8" s="125" t="inlineStr">
        <is>
          <t>2025-03-09</t>
        </is>
      </c>
      <c r="C8" s="125" t="inlineStr">
        <is>
          <t>DD20250309007</t>
        </is>
      </c>
      <c r="D8" s="115" t="inlineStr">
        <is>
          <t>铝件喷砂(委外)</t>
        </is>
      </c>
      <c r="E8" s="116" t="n">
        <v>1799.56</v>
      </c>
      <c r="F8" s="116" t="n">
        <v>2033.5</v>
      </c>
    </row>
    <row r="9" ht="15" customHeight="1" s="96">
      <c r="A9" s="149" t="n">
        <v>4</v>
      </c>
      <c r="B9" s="127" t="inlineStr">
        <is>
          <t>2025-03-08</t>
        </is>
      </c>
      <c r="C9" s="127" t="inlineStr">
        <is>
          <t>DD20250308025</t>
        </is>
      </c>
      <c r="D9" s="118" t="inlineStr">
        <is>
          <t>铜件氧化</t>
        </is>
      </c>
      <c r="E9" s="119" t="n">
        <v>2879.26</v>
      </c>
      <c r="F9" s="119" t="n">
        <v>3253.56</v>
      </c>
    </row>
    <row r="10" ht="15" customHeight="1" s="96">
      <c r="A10" s="147" t="n">
        <v>5</v>
      </c>
      <c r="B10" s="125" t="inlineStr">
        <is>
          <t>2025-04-13</t>
        </is>
      </c>
      <c r="C10" s="125" t="inlineStr">
        <is>
          <t>DD20250413006</t>
        </is>
      </c>
      <c r="D10" s="115" t="inlineStr">
        <is>
          <t>铝件抛光(委外)</t>
        </is>
      </c>
      <c r="E10" s="116" t="n">
        <v>1029.29</v>
      </c>
      <c r="F10" s="116" t="n">
        <v>1163.1</v>
      </c>
    </row>
    <row r="11" ht="15" customHeight="1" s="96">
      <c r="A11" s="149" t="n">
        <v>6</v>
      </c>
      <c r="B11" s="127" t="inlineStr">
        <is>
          <t>2025-04-15</t>
        </is>
      </c>
      <c r="C11" s="127" t="inlineStr">
        <is>
          <t>DD20250415024</t>
        </is>
      </c>
      <c r="D11" s="118" t="inlineStr">
        <is>
          <t>铜件氧化</t>
        </is>
      </c>
      <c r="E11" s="119" t="n">
        <v>2549.6</v>
      </c>
      <c r="F11" s="119" t="n">
        <v>2881.05</v>
      </c>
    </row>
    <row r="12" ht="15" customHeight="1" s="96">
      <c r="A12" s="147" t="n">
        <v>7</v>
      </c>
      <c r="B12" s="125" t="inlineStr">
        <is>
          <t>2025-05-28</t>
        </is>
      </c>
      <c r="C12" s="125" t="inlineStr">
        <is>
          <t>DD20250528014</t>
        </is>
      </c>
      <c r="D12" s="115" t="inlineStr">
        <is>
          <t>铝管氧化</t>
        </is>
      </c>
      <c r="E12" s="116" t="n">
        <v>1716.32</v>
      </c>
      <c r="F12" s="116" t="n">
        <v>1939.44</v>
      </c>
    </row>
    <row r="13" ht="15" customHeight="1" s="96">
      <c r="A13" s="149" t="n">
        <v>8</v>
      </c>
      <c r="B13" s="127" t="inlineStr">
        <is>
          <t>2025-05-03</t>
        </is>
      </c>
      <c r="C13" s="127" t="inlineStr">
        <is>
          <t>DD20250503016</t>
        </is>
      </c>
      <c r="D13" s="118" t="inlineStr">
        <is>
          <t>铝件喷砂+氧化</t>
        </is>
      </c>
      <c r="E13" s="119" t="n">
        <v>690.5700000000001</v>
      </c>
      <c r="F13" s="119" t="n">
        <v>780.34</v>
      </c>
    </row>
    <row r="14" ht="15" customHeight="1" s="96">
      <c r="A14" s="186" t="n"/>
      <c r="B14" s="186" t="n"/>
      <c r="C14" s="186" t="n"/>
      <c r="D14" s="185" t="inlineStr">
        <is>
          <t>合计</t>
        </is>
      </c>
      <c r="E14" s="187">
        <f>SUM(E6:E13)</f>
        <v/>
      </c>
      <c r="F14" s="187">
        <f>SUM(F6:F13)</f>
        <v/>
      </c>
    </row>
    <row r="15" ht="15" customHeight="1" s="96">
      <c r="D15" s="115" t="inlineStr">
        <is>
          <t>已收金额</t>
        </is>
      </c>
      <c r="E15" s="203">
        <f>SUMIF(收款记录!C:C,"永达五金厂",收款记录!D:D)</f>
        <v/>
      </c>
      <c r="F15" s="186" t="n"/>
    </row>
    <row r="16" ht="15" customHeight="1" s="96">
      <c r="D16" s="185" t="inlineStr">
        <is>
          <t>应收余额</t>
        </is>
      </c>
      <c r="E16" s="204">
        <f>F14-E15</f>
        <v/>
      </c>
      <c r="F16" s="186" t="n"/>
    </row>
    <row r="18" ht="15" customHeight="1" s="96">
      <c r="A18" s="143" t="inlineStr">
        <is>
          <t>供方（盖章）：__________________</t>
        </is>
      </c>
      <c r="D18" s="143" t="inlineStr">
        <is>
          <t>需方（盖章）：__________________</t>
        </is>
      </c>
    </row>
    <row r="21" ht="4.5" customHeight="1" s="96"/>
    <row r="22" ht="34.5" customHeight="1" s="96">
      <c r="A22" s="200" t="inlineStr">
        <is>
          <t>利润表</t>
        </is>
      </c>
    </row>
    <row r="23" ht="15" customHeight="1" s="96">
      <c r="A23" s="143" t="inlineStr">
        <is>
          <t>会小企02表    编制单位：XX氧化加工厂    2025年5月    单位：元</t>
        </is>
      </c>
    </row>
    <row r="24" ht="15" customHeight="1" s="96">
      <c r="A24" s="124" t="inlineStr">
        <is>
          <t>项目</t>
        </is>
      </c>
      <c r="B24" s="124" t="inlineStr">
        <is>
          <t>行次</t>
        </is>
      </c>
      <c r="C24" s="124" t="inlineStr">
        <is>
          <t>本期金额</t>
        </is>
      </c>
      <c r="D24" s="124" t="inlineStr">
        <is>
          <t>本年累计</t>
        </is>
      </c>
    </row>
    <row r="25" ht="15" customHeight="1" s="96">
      <c r="A25" s="192" t="inlineStr">
        <is>
          <t>一、营业收入（加工费收入）</t>
        </is>
      </c>
      <c r="B25" s="147" t="n">
        <v>1</v>
      </c>
      <c r="C25" s="187">
        <f>利润表!C4</f>
        <v/>
      </c>
      <c r="D25" s="187">
        <f>利润表!D4</f>
        <v/>
      </c>
    </row>
    <row r="26" ht="15" customHeight="1" s="96">
      <c r="A26" s="139" t="inlineStr">
        <is>
          <t>减：营业成本</t>
        </is>
      </c>
      <c r="B26" s="147" t="n">
        <v>2</v>
      </c>
      <c r="C26" s="116">
        <f>利润表!C5</f>
        <v/>
      </c>
      <c r="D26" s="116">
        <f>利润表!D5</f>
        <v/>
      </c>
    </row>
    <row r="27" ht="15" customHeight="1" s="96">
      <c r="A27" s="139" t="inlineStr">
        <is>
          <t xml:space="preserve">  营业税金及附加</t>
        </is>
      </c>
      <c r="B27" s="147" t="n">
        <v>3</v>
      </c>
      <c r="C27" s="116">
        <f>利润表!C6</f>
        <v/>
      </c>
      <c r="D27" s="116">
        <f>利润表!D6</f>
        <v/>
      </c>
    </row>
    <row r="28" ht="15" customHeight="1" s="96">
      <c r="A28" s="139" t="inlineStr">
        <is>
          <t xml:space="preserve">  销售费用</t>
        </is>
      </c>
      <c r="B28" s="147" t="n">
        <v>10</v>
      </c>
      <c r="C28" s="116">
        <f>利润表!C7</f>
        <v/>
      </c>
      <c r="D28" s="116">
        <f>利润表!D7</f>
        <v/>
      </c>
    </row>
    <row r="29" ht="15" customHeight="1" s="96">
      <c r="A29" s="139" t="inlineStr">
        <is>
          <t xml:space="preserve">  管理费用</t>
        </is>
      </c>
      <c r="B29" s="147" t="n">
        <v>13</v>
      </c>
      <c r="C29" s="116">
        <f>利润表!C8</f>
        <v/>
      </c>
      <c r="D29" s="116">
        <f>利润表!D8</f>
        <v/>
      </c>
    </row>
    <row r="30" ht="15" customHeight="1" s="96">
      <c r="A30" s="139" t="inlineStr">
        <is>
          <t xml:space="preserve">  财务费用</t>
        </is>
      </c>
      <c r="B30" s="147" t="n">
        <v>17</v>
      </c>
      <c r="C30" s="116">
        <f>利润表!C9</f>
        <v/>
      </c>
      <c r="D30" s="116">
        <f>利润表!D9</f>
        <v/>
      </c>
    </row>
    <row r="31" ht="15" customHeight="1" s="96">
      <c r="A31" s="192" t="inlineStr">
        <is>
          <t>二、营业利润</t>
        </is>
      </c>
      <c r="B31" s="147" t="n">
        <v>20</v>
      </c>
      <c r="C31" s="187">
        <f>利润表!C10</f>
        <v/>
      </c>
      <c r="D31" s="187">
        <f>利润表!D10</f>
        <v/>
      </c>
    </row>
    <row r="32" ht="15" customHeight="1" s="96">
      <c r="A32" s="139" t="inlineStr">
        <is>
          <t>加：营业外收入</t>
        </is>
      </c>
      <c r="B32" s="147" t="n">
        <v>21</v>
      </c>
      <c r="C32" s="116">
        <f>利润表!C11</f>
        <v/>
      </c>
      <c r="D32" s="116">
        <f>利润表!D11</f>
        <v/>
      </c>
    </row>
    <row r="33" ht="15" customHeight="1" s="96">
      <c r="A33" s="139" t="inlineStr">
        <is>
          <t>减：营业外支出</t>
        </is>
      </c>
      <c r="B33" s="147" t="n">
        <v>23</v>
      </c>
      <c r="C33" s="116">
        <f>利润表!C12</f>
        <v/>
      </c>
      <c r="D33" s="116">
        <f>利润表!D12</f>
        <v/>
      </c>
    </row>
    <row r="34" ht="15" customHeight="1" s="96">
      <c r="A34" s="192" t="inlineStr">
        <is>
          <t>三、利润总额</t>
        </is>
      </c>
      <c r="B34" s="147" t="n">
        <v>29</v>
      </c>
      <c r="C34" s="187">
        <f>利润表!C13</f>
        <v/>
      </c>
      <c r="D34" s="187">
        <f>利润表!D13</f>
        <v/>
      </c>
    </row>
    <row r="35" ht="15" customHeight="1" s="96">
      <c r="A35" s="139" t="inlineStr">
        <is>
          <t>减：所得税费用</t>
        </is>
      </c>
      <c r="B35" s="147" t="n">
        <v>30</v>
      </c>
      <c r="C35" s="116">
        <f>利润表!C14</f>
        <v/>
      </c>
      <c r="D35" s="116">
        <f>利润表!D14</f>
        <v/>
      </c>
    </row>
    <row r="36" ht="15" customHeight="1" s="96">
      <c r="A36" s="192" t="inlineStr">
        <is>
          <t>四、净利润</t>
        </is>
      </c>
      <c r="B36" s="147" t="n">
        <v>31</v>
      </c>
      <c r="C36" s="187">
        <f>利润表!C15</f>
        <v/>
      </c>
      <c r="D36" s="187">
        <f>利润表!D15</f>
        <v/>
      </c>
    </row>
    <row r="38" ht="15" customHeight="1" s="96">
      <c r="A38" s="143" t="inlineStr">
        <is>
          <t>编制人：__________    复核人：__________    财务负责人：__________</t>
        </is>
      </c>
    </row>
    <row r="41" ht="4.5" customHeight="1" s="96"/>
    <row r="42" ht="34.5" customHeight="1" s="96">
      <c r="A42" s="200" t="inlineStr">
        <is>
          <t>工资表</t>
        </is>
      </c>
    </row>
    <row r="43" ht="15" customHeight="1" s="96">
      <c r="A43" s="141" t="inlineStr">
        <is>
          <t>2025年5月    单位：元</t>
        </is>
      </c>
    </row>
    <row r="44" ht="15" customHeight="1" s="96">
      <c r="A44" s="124" t="inlineStr">
        <is>
          <t>发放日期</t>
        </is>
      </c>
      <c r="B44" s="124" t="inlineStr">
        <is>
          <t>月份</t>
        </is>
      </c>
      <c r="C44" s="124" t="inlineStr">
        <is>
          <t>姓名</t>
        </is>
      </c>
      <c r="D44" s="124" t="inlineStr">
        <is>
          <t>部门</t>
        </is>
      </c>
      <c r="E44" s="124" t="inlineStr">
        <is>
          <t>岗位</t>
        </is>
      </c>
      <c r="F44" s="124" t="inlineStr">
        <is>
          <t>基本工资</t>
        </is>
      </c>
      <c r="G44" s="124" t="inlineStr">
        <is>
          <t>加班费</t>
        </is>
      </c>
      <c r="H44" s="124" t="inlineStr">
        <is>
          <t>应发合计</t>
        </is>
      </c>
      <c r="I44" s="124" t="inlineStr">
        <is>
          <t>社保公积金(个人)</t>
        </is>
      </c>
      <c r="J44" s="124" t="inlineStr">
        <is>
          <t>个税</t>
        </is>
      </c>
      <c r="K44" s="124" t="inlineStr">
        <is>
          <t>实发工资</t>
        </is>
      </c>
    </row>
    <row r="45" ht="15" customHeight="1" s="96">
      <c r="A45" s="148" t="inlineStr">
        <is>
          <t>2025-05-10</t>
        </is>
      </c>
      <c r="B45" s="148" t="inlineStr">
        <is>
          <t>2025-05</t>
        </is>
      </c>
      <c r="C45" s="147" t="inlineStr">
        <is>
          <t>张三</t>
        </is>
      </c>
      <c r="D45" s="147" t="inlineStr">
        <is>
          <t>生产部</t>
        </is>
      </c>
      <c r="E45" s="147" t="inlineStr">
        <is>
          <t>操作工</t>
        </is>
      </c>
      <c r="F45" s="151" t="n">
        <v>3800</v>
      </c>
      <c r="G45" s="151" t="n">
        <v>1185</v>
      </c>
      <c r="H45" s="151" t="n">
        <v>4985</v>
      </c>
      <c r="I45" s="151" t="n">
        <v>399</v>
      </c>
      <c r="J45" s="151" t="n">
        <v>0</v>
      </c>
      <c r="K45" s="151" t="n">
        <v>4586</v>
      </c>
    </row>
    <row r="46" ht="15" customHeight="1" s="96">
      <c r="A46" s="150" t="inlineStr">
        <is>
          <t>2025-05-10</t>
        </is>
      </c>
      <c r="B46" s="150" t="inlineStr">
        <is>
          <t>2025-05</t>
        </is>
      </c>
      <c r="C46" s="149" t="inlineStr">
        <is>
          <t>李四</t>
        </is>
      </c>
      <c r="D46" s="149" t="inlineStr">
        <is>
          <t>生产部</t>
        </is>
      </c>
      <c r="E46" s="149" t="inlineStr">
        <is>
          <t>操作工</t>
        </is>
      </c>
      <c r="F46" s="152" t="n">
        <v>4000</v>
      </c>
      <c r="G46" s="152" t="n">
        <v>622</v>
      </c>
      <c r="H46" s="152" t="n">
        <v>4622</v>
      </c>
      <c r="I46" s="152" t="n">
        <v>420</v>
      </c>
      <c r="J46" s="152" t="n">
        <v>0</v>
      </c>
      <c r="K46" s="152" t="n">
        <v>4202</v>
      </c>
    </row>
    <row r="47" ht="15" customHeight="1" s="96">
      <c r="A47" s="148" t="inlineStr">
        <is>
          <t>2025-05-10</t>
        </is>
      </c>
      <c r="B47" s="148" t="inlineStr">
        <is>
          <t>2025-05</t>
        </is>
      </c>
      <c r="C47" s="147" t="inlineStr">
        <is>
          <t>王五</t>
        </is>
      </c>
      <c r="D47" s="147" t="inlineStr">
        <is>
          <t>生产部</t>
        </is>
      </c>
      <c r="E47" s="147" t="inlineStr">
        <is>
          <t>班长</t>
        </is>
      </c>
      <c r="F47" s="151" t="n">
        <v>4500</v>
      </c>
      <c r="G47" s="151" t="n">
        <v>1401</v>
      </c>
      <c r="H47" s="151" t="n">
        <v>5901</v>
      </c>
      <c r="I47" s="151" t="n">
        <v>472.5</v>
      </c>
      <c r="J47" s="151" t="n">
        <v>12.85</v>
      </c>
      <c r="K47" s="151" t="n">
        <v>5415.65</v>
      </c>
    </row>
    <row r="48" ht="15" customHeight="1" s="96">
      <c r="A48" s="150" t="inlineStr">
        <is>
          <t>2025-05-10</t>
        </is>
      </c>
      <c r="B48" s="150" t="inlineStr">
        <is>
          <t>2025-05</t>
        </is>
      </c>
      <c r="C48" s="149" t="inlineStr">
        <is>
          <t>赵六</t>
        </is>
      </c>
      <c r="D48" s="149" t="inlineStr">
        <is>
          <t>生产部</t>
        </is>
      </c>
      <c r="E48" s="149" t="inlineStr">
        <is>
          <t>操作工</t>
        </is>
      </c>
      <c r="F48" s="152" t="n">
        <v>3800</v>
      </c>
      <c r="G48" s="152" t="n">
        <v>762</v>
      </c>
      <c r="H48" s="152" t="n">
        <v>4562</v>
      </c>
      <c r="I48" s="152" t="n">
        <v>399</v>
      </c>
      <c r="J48" s="152" t="n">
        <v>0</v>
      </c>
      <c r="K48" s="152" t="n">
        <v>4163</v>
      </c>
    </row>
    <row r="49" ht="15" customHeight="1" s="96">
      <c r="A49" s="148" t="inlineStr">
        <is>
          <t>2025-05-10</t>
        </is>
      </c>
      <c r="B49" s="148" t="inlineStr">
        <is>
          <t>2025-05</t>
        </is>
      </c>
      <c r="C49" s="147" t="inlineStr">
        <is>
          <t>陈七</t>
        </is>
      </c>
      <c r="D49" s="147" t="inlineStr">
        <is>
          <t>管理部</t>
        </is>
      </c>
      <c r="E49" s="147" t="inlineStr">
        <is>
          <t>会计</t>
        </is>
      </c>
      <c r="F49" s="151" t="n">
        <v>5000</v>
      </c>
      <c r="G49" s="151" t="n">
        <v>1231</v>
      </c>
      <c r="H49" s="151" t="n">
        <v>6231</v>
      </c>
      <c r="I49" s="151" t="n">
        <v>525</v>
      </c>
      <c r="J49" s="151" t="n">
        <v>21.18</v>
      </c>
      <c r="K49" s="151" t="n">
        <v>5684.82</v>
      </c>
    </row>
    <row r="50" ht="15" customHeight="1" s="96">
      <c r="A50" s="150" t="inlineStr">
        <is>
          <t>2025-05-10</t>
        </is>
      </c>
      <c r="B50" s="150" t="inlineStr">
        <is>
          <t>2025-05</t>
        </is>
      </c>
      <c r="C50" s="149" t="inlineStr">
        <is>
          <t>刘八</t>
        </is>
      </c>
      <c r="D50" s="149" t="inlineStr">
        <is>
          <t>管理部</t>
        </is>
      </c>
      <c r="E50" s="149" t="inlineStr">
        <is>
          <t>老板</t>
        </is>
      </c>
      <c r="F50" s="152" t="n">
        <v>8000</v>
      </c>
      <c r="G50" s="152" t="n">
        <v>424</v>
      </c>
      <c r="H50" s="152" t="n">
        <v>8424</v>
      </c>
      <c r="I50" s="152" t="n">
        <v>840</v>
      </c>
      <c r="J50" s="152" t="n">
        <v>77.52</v>
      </c>
      <c r="K50" s="152" t="n">
        <v>7506.48</v>
      </c>
    </row>
    <row r="51" ht="15" customHeight="1" s="96">
      <c r="A51" s="186" t="n"/>
      <c r="B51" s="186" t="n"/>
      <c r="C51" s="185" t="inlineStr">
        <is>
          <t>合计</t>
        </is>
      </c>
      <c r="D51" s="186" t="n"/>
      <c r="E51" s="186" t="n"/>
      <c r="F51" s="187">
        <f>SUM(F45:F50)</f>
        <v/>
      </c>
      <c r="G51" s="187">
        <f>SUM(G45:G50)</f>
        <v/>
      </c>
      <c r="H51" s="187">
        <f>SUM(H45:H50)</f>
        <v/>
      </c>
      <c r="I51" s="187">
        <f>SUM(I45:I50)</f>
        <v/>
      </c>
      <c r="J51" s="187">
        <f>SUM(J45:J50)</f>
        <v/>
      </c>
      <c r="K51" s="187">
        <f>SUM(K45:K50)</f>
        <v/>
      </c>
    </row>
    <row r="53" ht="15" customHeight="1" s="96">
      <c r="A53" s="143" t="inlineStr">
        <is>
          <t>制表人：__________    审核人：__________    批准人：__________</t>
        </is>
      </c>
    </row>
  </sheetData>
  <mergeCells count="4">
    <mergeCell ref="A22:D22"/>
    <mergeCell ref="A23:D23"/>
    <mergeCell ref="A1:F1"/>
    <mergeCell ref="A42:K4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J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6" customWidth="1" style="95" min="1" max="1"/>
    <col width="14" customWidth="1" style="95" min="2" max="10"/>
  </cols>
  <sheetData>
    <row r="1" ht="15" customHeight="1" s="96">
      <c r="A1" s="205" t="inlineStr">
        <is>
          <t>【应收账款汇总 - 客户欠我方】</t>
        </is>
      </c>
    </row>
    <row r="2" ht="15" customHeight="1" s="96">
      <c r="A2" s="206" t="inlineStr">
        <is>
          <t>客户名称</t>
        </is>
      </c>
      <c r="B2" s="206" t="inlineStr">
        <is>
          <t>期初余额</t>
        </is>
      </c>
      <c r="C2" s="206" t="inlineStr">
        <is>
          <t>本月新增应收</t>
        </is>
      </c>
      <c r="D2" s="206" t="inlineStr">
        <is>
          <t>本月收回</t>
        </is>
      </c>
      <c r="E2" s="206" t="inlineStr">
        <is>
          <t>期末余额</t>
        </is>
      </c>
      <c r="F2" s="206" t="inlineStr">
        <is>
          <t>最后交易日期</t>
        </is>
      </c>
      <c r="G2" s="206" t="inlineStr">
        <is>
          <t>账龄(天)</t>
        </is>
      </c>
      <c r="H2" s="206" t="inlineStr">
        <is>
          <t>状态</t>
        </is>
      </c>
      <c r="I2" s="206" t="n"/>
      <c r="J2" s="206" t="n"/>
    </row>
    <row r="3" ht="15" customHeight="1" s="96">
      <c r="A3" s="207" t="inlineStr">
        <is>
          <t>永达五金厂</t>
        </is>
      </c>
      <c r="B3" s="207" t="n">
        <v>0</v>
      </c>
      <c r="C3" s="207">
        <f>SUMIFS(加工订单!K:K,加工订单!C:C,A3,加工订单!A:A,"&gt;="&amp;DATE(YEAR(TODAY()),MONTH(TODAY()),1))</f>
        <v/>
      </c>
      <c r="D3" s="207">
        <f>SUMIFS(收款记录!D:D,收款记录!C:C,A3,收款记录!A:A,"&gt;="&amp;DATE(YEAR(TODAY()),MONTH(TODAY()),1))</f>
        <v/>
      </c>
      <c r="E3" s="207">
        <f>B3+C3-D3</f>
        <v/>
      </c>
      <c r="F3" s="207">
        <f>MAX(IF(加工订单!C:C=A3,加工订单!A:A),IF(收款记录!C:C=A3,收款记录!A:A))</f>
        <v/>
      </c>
      <c r="G3" s="207">
        <f>IF(F3=0,0,TODAY()-F3)</f>
        <v/>
      </c>
      <c r="H3" s="207">
        <f>IF(G3&gt;90,"严重逾期",IF(G3&gt;60,"逾期",IF(G3&gt;30,"即将到期","正常")))</f>
        <v/>
      </c>
    </row>
    <row r="4" ht="15" customHeight="1" s="96">
      <c r="A4" s="208" t="inlineStr">
        <is>
          <t>恒丰铝业</t>
        </is>
      </c>
      <c r="B4" s="208" t="n">
        <v>0</v>
      </c>
      <c r="C4" s="208">
        <f>SUMIFS(加工订单!K:K,加工订单!C:C,A4,加工订单!A:A,"&gt;="&amp;DATE(YEAR(TODAY()),MONTH(TODAY()),1))</f>
        <v/>
      </c>
      <c r="D4" s="208">
        <f>SUMIFS(收款记录!D:D,收款记录!C:C,A4,收款记录!A:A,"&gt;="&amp;DATE(YEAR(TODAY()),MONTH(TODAY()),1))</f>
        <v/>
      </c>
      <c r="E4" s="208">
        <f>B4+C4-D4</f>
        <v/>
      </c>
      <c r="F4" s="208">
        <f>MAX(IF(加工订单!C:C=A4,加工订单!A:A),IF(收款记录!C:C=A4,收款记录!A:A))</f>
        <v/>
      </c>
      <c r="G4" s="208">
        <f>IF(F4=0,0,TODAY()-F4)</f>
        <v/>
      </c>
      <c r="H4" s="208">
        <f>IF(G4&gt;90,"严重逾期",IF(G4&gt;60,"逾期",IF(G4&gt;30,"即将到期","正常")))</f>
        <v/>
      </c>
    </row>
    <row r="5" ht="15" customHeight="1" s="96">
      <c r="A5" s="207" t="inlineStr">
        <is>
          <t>鑫达精密</t>
        </is>
      </c>
      <c r="B5" s="207" t="n">
        <v>0</v>
      </c>
      <c r="C5" s="207">
        <f>SUMIFS(加工订单!K:K,加工订单!C:C,A5,加工订单!A:A,"&gt;="&amp;DATE(YEAR(TODAY()),MONTH(TODAY()),1))</f>
        <v/>
      </c>
      <c r="D5" s="207">
        <f>SUMIFS(收款记录!D:D,收款记录!C:C,A5,收款记录!A:A,"&gt;="&amp;DATE(YEAR(TODAY()),MONTH(TODAY()),1))</f>
        <v/>
      </c>
      <c r="E5" s="207">
        <f>B5+C5-D5</f>
        <v/>
      </c>
      <c r="F5" s="207">
        <f>MAX(IF(加工订单!C:C=A5,加工订单!A:A),IF(收款记录!C:C=A5,收款记录!A:A))</f>
        <v/>
      </c>
      <c r="G5" s="207">
        <f>IF(F5=0,0,TODAY()-F5)</f>
        <v/>
      </c>
      <c r="H5" s="207">
        <f>IF(G5&gt;90,"严重逾期",IF(G5&gt;60,"逾期",IF(G5&gt;30,"即将到期","正常")))</f>
        <v/>
      </c>
    </row>
    <row r="6" ht="15" customHeight="1" s="96">
      <c r="A6" s="208" t="inlineStr">
        <is>
          <t>华泰金属</t>
        </is>
      </c>
      <c r="B6" s="208" t="n">
        <v>0</v>
      </c>
      <c r="C6" s="208">
        <f>SUMIFS(加工订单!K:K,加工订单!C:C,A6,加工订单!A:A,"&gt;="&amp;DATE(YEAR(TODAY()),MONTH(TODAY()),1))</f>
        <v/>
      </c>
      <c r="D6" s="208">
        <f>SUMIFS(收款记录!D:D,收款记录!C:C,A6,收款记录!A:A,"&gt;="&amp;DATE(YEAR(TODAY()),MONTH(TODAY()),1))</f>
        <v/>
      </c>
      <c r="E6" s="208">
        <f>B6+C6-D6</f>
        <v/>
      </c>
      <c r="F6" s="208">
        <f>MAX(IF(加工订单!C:C=A6,加工订单!A:A),IF(收款记录!C:C=A6,收款记录!A:A))</f>
        <v/>
      </c>
      <c r="G6" s="208">
        <f>IF(F6=0,0,TODAY()-F6)</f>
        <v/>
      </c>
      <c r="H6" s="208">
        <f>IF(G6&gt;90,"严重逾期",IF(G6&gt;60,"逾期",IF(G6&gt;30,"即将到期","正常")))</f>
        <v/>
      </c>
    </row>
    <row r="7" ht="15" customHeight="1" s="96">
      <c r="A7" s="207" t="inlineStr">
        <is>
          <t>博远五金</t>
        </is>
      </c>
      <c r="B7" s="207" t="n">
        <v>0</v>
      </c>
      <c r="C7" s="207">
        <f>SUMIFS(加工订单!K:K,加工订单!C:C,A7,加工订单!A:A,"&gt;="&amp;DATE(YEAR(TODAY()),MONTH(TODAY()),1))</f>
        <v/>
      </c>
      <c r="D7" s="207">
        <f>SUMIFS(收款记录!D:D,收款记录!C:C,A7,收款记录!A:A,"&gt;="&amp;DATE(YEAR(TODAY()),MONTH(TODAY()),1))</f>
        <v/>
      </c>
      <c r="E7" s="207">
        <f>B7+C7-D7</f>
        <v/>
      </c>
      <c r="F7" s="207">
        <f>MAX(IF(加工订单!C:C=A7,加工订单!A:A),IF(收款记录!C:C=A7,收款记录!A:A))</f>
        <v/>
      </c>
      <c r="G7" s="207">
        <f>IF(F7=0,0,TODAY()-F7)</f>
        <v/>
      </c>
      <c r="H7" s="207">
        <f>IF(G7&gt;90,"严重逾期",IF(G7&gt;60,"逾期",IF(G7&gt;30,"即将到期","正常")))</f>
        <v/>
      </c>
    </row>
    <row r="8" ht="15" customHeight="1" s="96">
      <c r="A8" s="208" t="inlineStr">
        <is>
          <t>天成铝材</t>
        </is>
      </c>
      <c r="B8" s="208" t="n">
        <v>0</v>
      </c>
      <c r="C8" s="208">
        <f>SUMIFS(加工订单!K:K,加工订单!C:C,A8,加工订单!A:A,"&gt;="&amp;DATE(YEAR(TODAY()),MONTH(TODAY()),1))</f>
        <v/>
      </c>
      <c r="D8" s="208">
        <f>SUMIFS(收款记录!D:D,收款记录!C:C,A8,收款记录!A:A,"&gt;="&amp;DATE(YEAR(TODAY()),MONTH(TODAY()),1))</f>
        <v/>
      </c>
      <c r="E8" s="208">
        <f>B8+C8-D8</f>
        <v/>
      </c>
      <c r="F8" s="208">
        <f>MAX(IF(加工订单!C:C=A8,加工订单!A:A),IF(收款记录!C:C=A8,收款记录!A:A))</f>
        <v/>
      </c>
      <c r="G8" s="208">
        <f>IF(F8=0,0,TODAY()-F8)</f>
        <v/>
      </c>
      <c r="H8" s="208">
        <f>IF(G8&gt;90,"严重逾期",IF(G8&gt;60,"逾期",IF(G8&gt;30,"即将到期","正常")))</f>
        <v/>
      </c>
    </row>
    <row r="9" ht="15" customHeight="1" s="96">
      <c r="A9" s="207" t="inlineStr">
        <is>
          <t>宏盛五金</t>
        </is>
      </c>
      <c r="B9" s="207" t="n">
        <v>0</v>
      </c>
      <c r="C9" s="207">
        <f>SUMIFS(加工订单!K:K,加工订单!C:C,A9,加工订单!A:A,"&gt;="&amp;DATE(YEAR(TODAY()),MONTH(TODAY()),1))</f>
        <v/>
      </c>
      <c r="D9" s="207">
        <f>SUMIFS(收款记录!D:D,收款记录!C:C,A9,收款记录!A:A,"&gt;="&amp;DATE(YEAR(TODAY()),MONTH(TODAY()),1))</f>
        <v/>
      </c>
      <c r="E9" s="207">
        <f>B9+C9-D9</f>
        <v/>
      </c>
      <c r="F9" s="207">
        <f>MAX(IF(加工订单!C:C=A9,加工订单!A:A),IF(收款记录!C:C=A9,收款记录!A:A))</f>
        <v/>
      </c>
      <c r="G9" s="207">
        <f>IF(F9=0,0,TODAY()-F9)</f>
        <v/>
      </c>
      <c r="H9" s="207">
        <f>IF(G9&gt;90,"严重逾期",IF(G9&gt;60,"逾期",IF(G9&gt;30,"即将到期","正常")))</f>
        <v/>
      </c>
    </row>
    <row r="10" ht="15" customHeight="1" s="96">
      <c r="A10" s="208" t="inlineStr">
        <is>
          <t>瑞丰金属</t>
        </is>
      </c>
      <c r="B10" s="208" t="n">
        <v>0</v>
      </c>
      <c r="C10" s="208">
        <f>SUMIFS(加工订单!K:K,加工订单!C:C,A10,加工订单!A:A,"&gt;="&amp;DATE(YEAR(TODAY()),MONTH(TODAY()),1))</f>
        <v/>
      </c>
      <c r="D10" s="208">
        <f>SUMIFS(收款记录!D:D,收款记录!C:C,A10,收款记录!A:A,"&gt;="&amp;DATE(YEAR(TODAY()),MONTH(TODAY()),1))</f>
        <v/>
      </c>
      <c r="E10" s="208">
        <f>B10+C10-D10</f>
        <v/>
      </c>
      <c r="F10" s="208">
        <f>MAX(IF(加工订单!C:C=A10,加工订单!A:A),IF(收款记录!C:C=A10,收款记录!A:A))</f>
        <v/>
      </c>
      <c r="G10" s="208">
        <f>IF(F10=0,0,TODAY()-F10)</f>
        <v/>
      </c>
      <c r="H10" s="208">
        <f>IF(G10&gt;90,"严重逾期",IF(G10&gt;60,"逾期",IF(G10&gt;30,"即将到期","正常")))</f>
        <v/>
      </c>
    </row>
    <row r="11" ht="15" customHeight="1" s="96">
      <c r="A11" s="209" t="inlineStr">
        <is>
          <t>合计</t>
        </is>
      </c>
      <c r="B11" s="209">
        <f>SUM(B3:B10)</f>
        <v/>
      </c>
      <c r="C11" s="209">
        <f>SUM(C3:C10)</f>
        <v/>
      </c>
      <c r="D11" s="209">
        <f>SUM(D3:D10)</f>
        <v/>
      </c>
      <c r="E11" s="209">
        <f>SUM(E3:E10)</f>
        <v/>
      </c>
      <c r="F11" s="209">
        <f>SUM(F3:F10)</f>
        <v/>
      </c>
      <c r="G11" s="209">
        <f>SUM(G3:G10)</f>
        <v/>
      </c>
      <c r="H11" s="209">
        <f>SUM(H3:H10)</f>
        <v/>
      </c>
    </row>
    <row r="13" ht="15" customHeight="1" s="96">
      <c r="A13" s="205" t="inlineStr">
        <is>
          <t>【客户明细对账】</t>
        </is>
      </c>
    </row>
    <row r="14" ht="15" customHeight="1" s="96">
      <c r="A14" s="210" t="inlineStr">
        <is>
          <t>【永达五金厂 对账明细】</t>
        </is>
      </c>
    </row>
    <row r="15" ht="15" customHeight="1" s="96">
      <c r="A15" s="206" t="inlineStr">
        <is>
          <t>日期</t>
        </is>
      </c>
      <c r="B15" s="206" t="inlineStr">
        <is>
          <t>单据类型</t>
        </is>
      </c>
      <c r="C15" s="206" t="inlineStr">
        <is>
          <t>单据号</t>
        </is>
      </c>
      <c r="D15" s="206" t="inlineStr">
        <is>
          <t>摘要</t>
        </is>
      </c>
      <c r="E15" s="206" t="inlineStr">
        <is>
          <t>应收金额</t>
        </is>
      </c>
      <c r="F15" s="206" t="inlineStr">
        <is>
          <t>已收金额</t>
        </is>
      </c>
      <c r="G15" s="206" t="inlineStr">
        <is>
          <t>余额</t>
        </is>
      </c>
      <c r="H15" s="206" t="n"/>
      <c r="I15" s="206" t="n"/>
      <c r="J15" s="206" t="n"/>
    </row>
    <row r="16" ht="15" customHeight="1" s="96">
      <c r="A16" s="207" t="n"/>
      <c r="B16" s="207" t="n"/>
      <c r="C16" s="207" t="n"/>
      <c r="D16" s="207" t="n"/>
      <c r="E16" s="207" t="n"/>
      <c r="F16" s="207" t="n"/>
      <c r="G16" s="207">
        <f>E16-F16</f>
        <v/>
      </c>
    </row>
    <row r="17" ht="15" customHeight="1" s="96">
      <c r="A17" s="208" t="n"/>
      <c r="B17" s="208" t="n"/>
      <c r="C17" s="208" t="n"/>
      <c r="D17" s="208" t="n"/>
      <c r="E17" s="208" t="n"/>
      <c r="F17" s="208" t="n"/>
      <c r="G17" s="208">
        <f>G16+E17-F17</f>
        <v/>
      </c>
    </row>
    <row r="18" ht="15" customHeight="1" s="96">
      <c r="A18" s="207" t="n"/>
      <c r="B18" s="207" t="n"/>
      <c r="C18" s="207" t="n"/>
      <c r="D18" s="207" t="n"/>
      <c r="E18" s="207" t="n"/>
      <c r="F18" s="207" t="n"/>
      <c r="G18" s="207">
        <f>G17+E18-F18</f>
        <v/>
      </c>
    </row>
    <row r="19" ht="15" customHeight="1" s="96">
      <c r="A19" s="208" t="n"/>
      <c r="B19" s="208" t="n"/>
      <c r="C19" s="208" t="n"/>
      <c r="D19" s="208" t="n"/>
      <c r="E19" s="208" t="n"/>
      <c r="F19" s="208" t="n"/>
      <c r="G19" s="208">
        <f>G18+E19-F19</f>
        <v/>
      </c>
    </row>
    <row r="20" ht="15" customHeight="1" s="96">
      <c r="A20" s="207" t="n"/>
      <c r="B20" s="207" t="n"/>
      <c r="C20" s="207" t="n"/>
      <c r="D20" s="207" t="n"/>
      <c r="E20" s="207" t="n"/>
      <c r="F20" s="207" t="n"/>
      <c r="G20" s="207">
        <f>G19+E20-F20</f>
        <v/>
      </c>
    </row>
    <row r="21" ht="15" customHeight="1" s="96">
      <c r="A21" s="209" t="inlineStr">
        <is>
          <t>小计</t>
        </is>
      </c>
      <c r="E21" s="209">
        <f>SUM(E16:E20)</f>
        <v/>
      </c>
      <c r="F21" s="209">
        <f>SUM(F16:F20)</f>
        <v/>
      </c>
      <c r="G21" s="209">
        <f>E21-F21</f>
        <v/>
      </c>
    </row>
    <row r="23" ht="15" customHeight="1" s="96">
      <c r="A23" s="210" t="inlineStr">
        <is>
          <t>【恒丰铝业 对账明细】</t>
        </is>
      </c>
    </row>
    <row r="24" ht="15" customHeight="1" s="96">
      <c r="A24" s="206" t="inlineStr">
        <is>
          <t>日期</t>
        </is>
      </c>
      <c r="B24" s="206" t="inlineStr">
        <is>
          <t>单据类型</t>
        </is>
      </c>
      <c r="C24" s="206" t="inlineStr">
        <is>
          <t>单据号</t>
        </is>
      </c>
      <c r="D24" s="206" t="inlineStr">
        <is>
          <t>摘要</t>
        </is>
      </c>
      <c r="E24" s="206" t="inlineStr">
        <is>
          <t>应收金额</t>
        </is>
      </c>
      <c r="F24" s="206" t="inlineStr">
        <is>
          <t>已收金额</t>
        </is>
      </c>
      <c r="G24" s="206" t="inlineStr">
        <is>
          <t>余额</t>
        </is>
      </c>
      <c r="H24" s="206" t="n"/>
      <c r="I24" s="206" t="n"/>
      <c r="J24" s="206" t="n"/>
    </row>
    <row r="25" ht="15" customHeight="1" s="96">
      <c r="A25" s="207" t="n"/>
      <c r="B25" s="207" t="n"/>
      <c r="C25" s="207" t="n"/>
      <c r="D25" s="207" t="n"/>
      <c r="E25" s="207" t="n"/>
      <c r="F25" s="207" t="n"/>
      <c r="G25" s="207">
        <f>E25-F25</f>
        <v/>
      </c>
    </row>
    <row r="26" ht="15" customHeight="1" s="96">
      <c r="A26" s="208" t="n"/>
      <c r="B26" s="208" t="n"/>
      <c r="C26" s="208" t="n"/>
      <c r="D26" s="208" t="n"/>
      <c r="E26" s="208" t="n"/>
      <c r="F26" s="208" t="n"/>
      <c r="G26" s="208">
        <f>G25+E26-F26</f>
        <v/>
      </c>
    </row>
    <row r="27" ht="15" customHeight="1" s="96">
      <c r="A27" s="207" t="n"/>
      <c r="B27" s="207" t="n"/>
      <c r="C27" s="207" t="n"/>
      <c r="D27" s="207" t="n"/>
      <c r="E27" s="207" t="n"/>
      <c r="F27" s="207" t="n"/>
      <c r="G27" s="207">
        <f>G26+E27-F27</f>
        <v/>
      </c>
    </row>
    <row r="28" ht="15" customHeight="1" s="96">
      <c r="A28" s="208" t="n"/>
      <c r="B28" s="208" t="n"/>
      <c r="C28" s="208" t="n"/>
      <c r="D28" s="208" t="n"/>
      <c r="E28" s="208" t="n"/>
      <c r="F28" s="208" t="n"/>
      <c r="G28" s="208">
        <f>G27+E28-F28</f>
        <v/>
      </c>
    </row>
    <row r="29" ht="15" customHeight="1" s="96">
      <c r="A29" s="207" t="n"/>
      <c r="B29" s="207" t="n"/>
      <c r="C29" s="207" t="n"/>
      <c r="D29" s="207" t="n"/>
      <c r="E29" s="207" t="n"/>
      <c r="F29" s="207" t="n"/>
      <c r="G29" s="207">
        <f>G28+E29-F29</f>
        <v/>
      </c>
    </row>
    <row r="30" ht="15" customHeight="1" s="96">
      <c r="A30" s="209" t="inlineStr">
        <is>
          <t>小计</t>
        </is>
      </c>
      <c r="E30" s="209">
        <f>SUM(E25:E29)</f>
        <v/>
      </c>
      <c r="F30" s="209">
        <f>SUM(F25:F29)</f>
        <v/>
      </c>
      <c r="G30" s="209">
        <f>E30-F30</f>
        <v/>
      </c>
    </row>
    <row r="32" ht="15" customHeight="1" s="96">
      <c r="A32" s="210" t="inlineStr">
        <is>
          <t>【鑫达精密 对账明细】</t>
        </is>
      </c>
    </row>
    <row r="33" ht="15" customHeight="1" s="96">
      <c r="A33" s="206" t="inlineStr">
        <is>
          <t>日期</t>
        </is>
      </c>
      <c r="B33" s="206" t="inlineStr">
        <is>
          <t>单据类型</t>
        </is>
      </c>
      <c r="C33" s="206" t="inlineStr">
        <is>
          <t>单据号</t>
        </is>
      </c>
      <c r="D33" s="206" t="inlineStr">
        <is>
          <t>摘要</t>
        </is>
      </c>
      <c r="E33" s="206" t="inlineStr">
        <is>
          <t>应收金额</t>
        </is>
      </c>
      <c r="F33" s="206" t="inlineStr">
        <is>
          <t>已收金额</t>
        </is>
      </c>
      <c r="G33" s="206" t="inlineStr">
        <is>
          <t>余额</t>
        </is>
      </c>
      <c r="H33" s="206" t="n"/>
      <c r="I33" s="206" t="n"/>
      <c r="J33" s="206" t="n"/>
    </row>
    <row r="34" ht="15" customHeight="1" s="96">
      <c r="A34" s="207" t="n"/>
      <c r="B34" s="207" t="n"/>
      <c r="C34" s="207" t="n"/>
      <c r="D34" s="207" t="n"/>
      <c r="E34" s="207" t="n"/>
      <c r="F34" s="207" t="n"/>
      <c r="G34" s="207">
        <f>E34-F34</f>
        <v/>
      </c>
    </row>
    <row r="35" ht="15" customHeight="1" s="96">
      <c r="A35" s="208" t="n"/>
      <c r="B35" s="208" t="n"/>
      <c r="C35" s="208" t="n"/>
      <c r="D35" s="208" t="n"/>
      <c r="E35" s="208" t="n"/>
      <c r="F35" s="208" t="n"/>
      <c r="G35" s="208">
        <f>G34+E35-F35</f>
        <v/>
      </c>
    </row>
    <row r="36" ht="15" customHeight="1" s="96">
      <c r="A36" s="207" t="n"/>
      <c r="B36" s="207" t="n"/>
      <c r="C36" s="207" t="n"/>
      <c r="D36" s="207" t="n"/>
      <c r="E36" s="207" t="n"/>
      <c r="F36" s="207" t="n"/>
      <c r="G36" s="207">
        <f>G35+E36-F36</f>
        <v/>
      </c>
    </row>
    <row r="37" ht="15" customHeight="1" s="96">
      <c r="A37" s="208" t="n"/>
      <c r="B37" s="208" t="n"/>
      <c r="C37" s="208" t="n"/>
      <c r="D37" s="208" t="n"/>
      <c r="E37" s="208" t="n"/>
      <c r="F37" s="208" t="n"/>
      <c r="G37" s="208">
        <f>G36+E37-F37</f>
        <v/>
      </c>
    </row>
    <row r="38" ht="15" customHeight="1" s="96">
      <c r="A38" s="207" t="n"/>
      <c r="B38" s="207" t="n"/>
      <c r="C38" s="207" t="n"/>
      <c r="D38" s="207" t="n"/>
      <c r="E38" s="207" t="n"/>
      <c r="F38" s="207" t="n"/>
      <c r="G38" s="207">
        <f>G37+E38-F38</f>
        <v/>
      </c>
    </row>
    <row r="39" ht="15" customHeight="1" s="96">
      <c r="A39" s="209" t="inlineStr">
        <is>
          <t>小计</t>
        </is>
      </c>
      <c r="E39" s="209">
        <f>SUM(E34:E38)</f>
        <v/>
      </c>
      <c r="F39" s="209">
        <f>SUM(F34:F38)</f>
        <v/>
      </c>
      <c r="G39" s="209">
        <f>E39-F39</f>
        <v/>
      </c>
    </row>
    <row r="41" ht="15" customHeight="1" s="96">
      <c r="A41" s="205" t="inlineStr">
        <is>
          <t>【应付账款汇总 - 我方欠供应商】</t>
        </is>
      </c>
    </row>
    <row r="42" ht="15" customHeight="1" s="96">
      <c r="A42" s="206" t="inlineStr">
        <is>
          <t>供应商名称</t>
        </is>
      </c>
      <c r="B42" s="206" t="inlineStr">
        <is>
          <t>期初余额</t>
        </is>
      </c>
      <c r="C42" s="206" t="inlineStr">
        <is>
          <t>本月新增应付</t>
        </is>
      </c>
      <c r="D42" s="206" t="inlineStr">
        <is>
          <t>本月支付</t>
        </is>
      </c>
      <c r="E42" s="206" t="inlineStr">
        <is>
          <t>期末余额</t>
        </is>
      </c>
      <c r="F42" s="206" t="inlineStr">
        <is>
          <t>最后交易日期</t>
        </is>
      </c>
      <c r="G42" s="206" t="inlineStr">
        <is>
          <t>账龄(天)</t>
        </is>
      </c>
      <c r="H42" s="206" t="inlineStr">
        <is>
          <t>状态</t>
        </is>
      </c>
      <c r="I42" s="206" t="n"/>
      <c r="J42" s="206" t="n"/>
    </row>
    <row r="43" ht="15" customHeight="1" s="96">
      <c r="A43" s="211" t="inlineStr">
        <is>
          <t>XX化工</t>
        </is>
      </c>
      <c r="B43" s="211" t="n">
        <v>0</v>
      </c>
      <c r="C43" s="211">
        <f>SUMIFS(付款记录!D:D,付款记录!C:C,A43,付款记录!A:A,"&gt;="&amp;DATE(YEAR(TODAY()),MONTH(TODAY()),1))</f>
        <v/>
      </c>
      <c r="D43" s="211">
        <f>SUMIFS(付款记录!D:D,付款记录!C:C,A43,付款记录!A:A,"&gt;="&amp;DATE(YEAR(TODAY()),MONTH(TODAY()),1))</f>
        <v/>
      </c>
      <c r="E43" s="211">
        <f>B43+C43-D43</f>
        <v/>
      </c>
      <c r="F43" s="211">
        <f>MAX(IF(付款记录!C:C=A43,付款记录!A:A))</f>
        <v/>
      </c>
      <c r="G43" s="211">
        <f>IF(F43=0,0,TODAY()-F43)</f>
        <v/>
      </c>
      <c r="H43" s="211">
        <f>IF(G43&gt;90,"严重逾期",IF(G43&gt;60,"逾期",IF(G43&gt;30,"即将到期","正常")))</f>
        <v/>
      </c>
    </row>
    <row r="44" ht="15" customHeight="1" s="96">
      <c r="A44" s="212" t="inlineStr">
        <is>
          <t>YY化工</t>
        </is>
      </c>
      <c r="B44" s="212" t="n">
        <v>0</v>
      </c>
      <c r="C44" s="212">
        <f>SUMIFS(付款记录!D:D,付款记录!C:C,A44,付款记录!A:A,"&gt;="&amp;DATE(YEAR(TODAY()),MONTH(TODAY()),1))</f>
        <v/>
      </c>
      <c r="D44" s="212">
        <f>SUMIFS(付款记录!D:D,付款记录!C:C,A44,付款记录!A:A,"&gt;="&amp;DATE(YEAR(TODAY()),MONTH(TODAY()),1))</f>
        <v/>
      </c>
      <c r="E44" s="212">
        <f>B44+C44-D44</f>
        <v/>
      </c>
      <c r="F44" s="212">
        <f>MAX(IF(付款记录!C:C=A44,付款记录!A:A))</f>
        <v/>
      </c>
      <c r="G44" s="212">
        <f>IF(F44=0,0,TODAY()-F44)</f>
        <v/>
      </c>
      <c r="H44" s="212">
        <f>IF(G44&gt;90,"严重逾期",IF(G44&gt;60,"逾期",IF(G44&gt;30,"即将到期","正常")))</f>
        <v/>
      </c>
    </row>
    <row r="45" ht="15" customHeight="1" s="96">
      <c r="A45" s="211" t="inlineStr">
        <is>
          <t>ZZ挂具厂</t>
        </is>
      </c>
      <c r="B45" s="211" t="n">
        <v>0</v>
      </c>
      <c r="C45" s="211">
        <f>SUMIFS(付款记录!D:D,付款记录!C:C,A45,付款记录!A:A,"&gt;="&amp;DATE(YEAR(TODAY()),MONTH(TODAY()),1))</f>
        <v/>
      </c>
      <c r="D45" s="211">
        <f>SUMIFS(付款记录!D:D,付款记录!C:C,A45,付款记录!A:A,"&gt;="&amp;DATE(YEAR(TODAY()),MONTH(TODAY()),1))</f>
        <v/>
      </c>
      <c r="E45" s="211">
        <f>B45+C45-D45</f>
        <v/>
      </c>
      <c r="F45" s="211">
        <f>MAX(IF(付款记录!C:C=A45,付款记录!A:A))</f>
        <v/>
      </c>
      <c r="G45" s="211">
        <f>IF(F45=0,0,TODAY()-F45)</f>
        <v/>
      </c>
      <c r="H45" s="211">
        <f>IF(G45&gt;90,"严重逾期",IF(G45&gt;60,"逾期",IF(G45&gt;30,"即将到期","正常")))</f>
        <v/>
      </c>
    </row>
    <row r="46" ht="15" customHeight="1" s="96">
      <c r="A46" s="212" t="inlineStr">
        <is>
          <t>AA喷砂厂</t>
        </is>
      </c>
      <c r="B46" s="212" t="n">
        <v>0</v>
      </c>
      <c r="C46" s="212">
        <f>SUMIFS(付款记录!D:D,付款记录!C:C,A46,付款记录!A:A,"&gt;="&amp;DATE(YEAR(TODAY()),MONTH(TODAY()),1))</f>
        <v/>
      </c>
      <c r="D46" s="212">
        <f>SUMIFS(付款记录!D:D,付款记录!C:C,A46,付款记录!A:A,"&gt;="&amp;DATE(YEAR(TODAY()),MONTH(TODAY()),1))</f>
        <v/>
      </c>
      <c r="E46" s="212">
        <f>B46+C46-D46</f>
        <v/>
      </c>
      <c r="F46" s="212">
        <f>MAX(IF(付款记录!C:C=A46,付款记录!A:A))</f>
        <v/>
      </c>
      <c r="G46" s="212">
        <f>IF(F46=0,0,TODAY()-F46)</f>
        <v/>
      </c>
      <c r="H46" s="212">
        <f>IF(G46&gt;90,"严重逾期",IF(G46&gt;60,"逾期",IF(G46&gt;30,"即将到期","正常")))</f>
        <v/>
      </c>
    </row>
    <row r="47" ht="15" customHeight="1" s="96">
      <c r="A47" s="211" t="inlineStr">
        <is>
          <t>BB抛光厂</t>
        </is>
      </c>
      <c r="B47" s="211" t="n">
        <v>0</v>
      </c>
      <c r="C47" s="211">
        <f>SUMIFS(付款记录!D:D,付款记录!C:C,A47,付款记录!A:A,"&gt;="&amp;DATE(YEAR(TODAY()),MONTH(TODAY()),1))</f>
        <v/>
      </c>
      <c r="D47" s="211">
        <f>SUMIFS(付款记录!D:D,付款记录!C:C,A47,付款记录!A:A,"&gt;="&amp;DATE(YEAR(TODAY()),MONTH(TODAY()),1))</f>
        <v/>
      </c>
      <c r="E47" s="211">
        <f>B47+C47-D47</f>
        <v/>
      </c>
      <c r="F47" s="211">
        <f>MAX(IF(付款记录!C:C=A47,付款记录!A:A))</f>
        <v/>
      </c>
      <c r="G47" s="211">
        <f>IF(F47=0,0,TODAY()-F47)</f>
        <v/>
      </c>
      <c r="H47" s="211">
        <f>IF(G47&gt;90,"严重逾期",IF(G47&gt;60,"逾期",IF(G47&gt;30,"即将到期","正常")))</f>
        <v/>
      </c>
    </row>
    <row r="48" ht="15" customHeight="1" s="96">
      <c r="A48" s="209" t="inlineStr">
        <is>
          <t>合计</t>
        </is>
      </c>
      <c r="B48" s="209">
        <f>SUM(B43:B47)</f>
        <v/>
      </c>
      <c r="C48" s="209">
        <f>SUM(C43:C47)</f>
        <v/>
      </c>
      <c r="D48" s="209">
        <f>SUM(D43:D47)</f>
        <v/>
      </c>
      <c r="E48" s="209">
        <f>SUM(E43:E47)</f>
        <v/>
      </c>
      <c r="F48" s="209">
        <f>SUM(F43:F47)</f>
        <v/>
      </c>
      <c r="G48" s="209">
        <f>SUM(G43:G47)</f>
        <v/>
      </c>
      <c r="H48" s="209">
        <f>SUM(H43:H47)</f>
        <v/>
      </c>
    </row>
    <row r="50" ht="15" customHeight="1" s="96">
      <c r="A50" s="205" t="inlineStr">
        <is>
          <t>【账龄分析】</t>
        </is>
      </c>
    </row>
    <row r="51" ht="15" customHeight="1" s="96">
      <c r="A51" s="210" t="inlineStr">
        <is>
          <t>应收账款账龄分析</t>
        </is>
      </c>
    </row>
    <row r="52" ht="15" customHeight="1" s="96">
      <c r="A52" s="206" t="inlineStr">
        <is>
          <t>客户名称</t>
        </is>
      </c>
      <c r="B52" s="213" t="inlineStr">
        <is>
          <t>1-30天</t>
        </is>
      </c>
      <c r="C52" s="213" t="inlineStr">
        <is>
          <t>31-60天</t>
        </is>
      </c>
      <c r="D52" s="213" t="inlineStr">
        <is>
          <t>61-90天</t>
        </is>
      </c>
      <c r="E52" s="213" t="inlineStr">
        <is>
          <t>90天以上</t>
        </is>
      </c>
      <c r="F52" s="206" t="inlineStr">
        <is>
          <t>合计</t>
        </is>
      </c>
      <c r="G52" s="206" t="inlineStr">
        <is>
          <t>占比</t>
        </is>
      </c>
      <c r="H52" s="206" t="n"/>
      <c r="I52" s="206" t="n"/>
      <c r="J52" s="206" t="n"/>
    </row>
    <row r="53" ht="15" customHeight="1" s="96">
      <c r="A53" s="207" t="inlineStr">
        <is>
          <t>永达五金厂</t>
        </is>
      </c>
      <c r="B53" s="211">
        <f>SUMIFS(加工订单!K:K,加工订单!C:C,A53,加工订单!A:A,"&gt;="&amp;TODAY()-30)</f>
        <v/>
      </c>
      <c r="C53" s="211">
        <f>SUMIFS(加工订单!K:K,加工订单!C:C,A53,加工订单!A:A,"&gt;="&amp;TODAY()-60,加工订单!A:A,"&lt;"&amp;TODAY()-30)</f>
        <v/>
      </c>
      <c r="D53" s="211">
        <f>SUMIFS(加工订单!K:K,加工订单!C:C,A53,加工订单!A:A,"&gt;="&amp;TODAY()-90,加工订单!A:A,"&lt;"&amp;TODAY()-60)</f>
        <v/>
      </c>
      <c r="E53" s="211">
        <f>SUMIFS(加工订单!K:K,加工订单!C:C,A53,加工订单!A:A,"&lt;"&amp;TODAY()-90)</f>
        <v/>
      </c>
      <c r="F53" s="211">
        <f>SUM(B53:E53)</f>
        <v/>
      </c>
      <c r="G53" s="214">
        <f>IF(SUM($B$53:$B$60)=0,0,F53/SUM($F$53:$F$60))</f>
        <v/>
      </c>
    </row>
    <row r="54" ht="15" customHeight="1" s="96">
      <c r="A54" s="208" t="inlineStr">
        <is>
          <t>恒丰铝业</t>
        </is>
      </c>
      <c r="B54" s="212">
        <f>SUMIFS(加工订单!K:K,加工订单!C:C,A54,加工订单!A:A,"&gt;="&amp;TODAY()-30)</f>
        <v/>
      </c>
      <c r="C54" s="212">
        <f>SUMIFS(加工订单!K:K,加工订单!C:C,A54,加工订单!A:A,"&gt;="&amp;TODAY()-60,加工订单!A:A,"&lt;"&amp;TODAY()-30)</f>
        <v/>
      </c>
      <c r="D54" s="212">
        <f>SUMIFS(加工订单!K:K,加工订单!C:C,A54,加工订单!A:A,"&gt;="&amp;TODAY()-90,加工订单!A:A,"&lt;"&amp;TODAY()-60)</f>
        <v/>
      </c>
      <c r="E54" s="212">
        <f>SUMIFS(加工订单!K:K,加工订单!C:C,A54,加工订单!A:A,"&lt;"&amp;TODAY()-90)</f>
        <v/>
      </c>
      <c r="F54" s="212">
        <f>SUM(B54:E54)</f>
        <v/>
      </c>
      <c r="G54" s="215">
        <f>IF(SUM($B$53:$B$60)=0,0,F54/SUM($F$53:$F$60))</f>
        <v/>
      </c>
    </row>
    <row r="55" ht="15" customHeight="1" s="96">
      <c r="A55" s="207" t="inlineStr">
        <is>
          <t>鑫达精密</t>
        </is>
      </c>
      <c r="B55" s="211">
        <f>SUMIFS(加工订单!K:K,加工订单!C:C,A55,加工订单!A:A,"&gt;="&amp;TODAY()-30)</f>
        <v/>
      </c>
      <c r="C55" s="211">
        <f>SUMIFS(加工订单!K:K,加工订单!C:C,A55,加工订单!A:A,"&gt;="&amp;TODAY()-60,加工订单!A:A,"&lt;"&amp;TODAY()-30)</f>
        <v/>
      </c>
      <c r="D55" s="211">
        <f>SUMIFS(加工订单!K:K,加工订单!C:C,A55,加工订单!A:A,"&gt;="&amp;TODAY()-90,加工订单!A:A,"&lt;"&amp;TODAY()-60)</f>
        <v/>
      </c>
      <c r="E55" s="211">
        <f>SUMIFS(加工订单!K:K,加工订单!C:C,A55,加工订单!A:A,"&lt;"&amp;TODAY()-90)</f>
        <v/>
      </c>
      <c r="F55" s="211">
        <f>SUM(B55:E55)</f>
        <v/>
      </c>
      <c r="G55" s="214">
        <f>IF(SUM($B$53:$B$60)=0,0,F55/SUM($F$53:$F$60))</f>
        <v/>
      </c>
    </row>
    <row r="56" ht="15" customHeight="1" s="96">
      <c r="A56" s="208" t="inlineStr">
        <is>
          <t>华泰金属</t>
        </is>
      </c>
      <c r="B56" s="212">
        <f>SUMIFS(加工订单!K:K,加工订单!C:C,A56,加工订单!A:A,"&gt;="&amp;TODAY()-30)</f>
        <v/>
      </c>
      <c r="C56" s="212">
        <f>SUMIFS(加工订单!K:K,加工订单!C:C,A56,加工订单!A:A,"&gt;="&amp;TODAY()-60,加工订单!A:A,"&lt;"&amp;TODAY()-30)</f>
        <v/>
      </c>
      <c r="D56" s="212">
        <f>SUMIFS(加工订单!K:K,加工订单!C:C,A56,加工订单!A:A,"&gt;="&amp;TODAY()-90,加工订单!A:A,"&lt;"&amp;TODAY()-60)</f>
        <v/>
      </c>
      <c r="E56" s="212">
        <f>SUMIFS(加工订单!K:K,加工订单!C:C,A56,加工订单!A:A,"&lt;"&amp;TODAY()-90)</f>
        <v/>
      </c>
      <c r="F56" s="212">
        <f>SUM(B56:E56)</f>
        <v/>
      </c>
      <c r="G56" s="215">
        <f>IF(SUM($B$53:$B$60)=0,0,F56/SUM($F$53:$F$60))</f>
        <v/>
      </c>
    </row>
    <row r="57" ht="15" customHeight="1" s="96">
      <c r="A57" s="207" t="inlineStr">
        <is>
          <t>博远五金</t>
        </is>
      </c>
      <c r="B57" s="211">
        <f>SUMIFS(加工订单!K:K,加工订单!C:C,A57,加工订单!A:A,"&gt;="&amp;TODAY()-30)</f>
        <v/>
      </c>
      <c r="C57" s="211">
        <f>SUMIFS(加工订单!K:K,加工订单!C:C,A57,加工订单!A:A,"&gt;="&amp;TODAY()-60,加工订单!A:A,"&lt;"&amp;TODAY()-30)</f>
        <v/>
      </c>
      <c r="D57" s="211">
        <f>SUMIFS(加工订单!K:K,加工订单!C:C,A57,加工订单!A:A,"&gt;="&amp;TODAY()-90,加工订单!A:A,"&lt;"&amp;TODAY()-60)</f>
        <v/>
      </c>
      <c r="E57" s="211">
        <f>SUMIFS(加工订单!K:K,加工订单!C:C,A57,加工订单!A:A,"&lt;"&amp;TODAY()-90)</f>
        <v/>
      </c>
      <c r="F57" s="211">
        <f>SUM(B57:E57)</f>
        <v/>
      </c>
      <c r="G57" s="214">
        <f>IF(SUM($B$53:$B$60)=0,0,F57/SUM($F$53:$F$60))</f>
        <v/>
      </c>
    </row>
    <row r="58" ht="15" customHeight="1" s="96">
      <c r="A58" s="208" t="inlineStr">
        <is>
          <t>天成铝材</t>
        </is>
      </c>
      <c r="B58" s="212">
        <f>SUMIFS(加工订单!K:K,加工订单!C:C,A58,加工订单!A:A,"&gt;="&amp;TODAY()-30)</f>
        <v/>
      </c>
      <c r="C58" s="212">
        <f>SUMIFS(加工订单!K:K,加工订单!C:C,A58,加工订单!A:A,"&gt;="&amp;TODAY()-60,加工订单!A:A,"&lt;"&amp;TODAY()-30)</f>
        <v/>
      </c>
      <c r="D58" s="212">
        <f>SUMIFS(加工订单!K:K,加工订单!C:C,A58,加工订单!A:A,"&gt;="&amp;TODAY()-90,加工订单!A:A,"&lt;"&amp;TODAY()-60)</f>
        <v/>
      </c>
      <c r="E58" s="212">
        <f>SUMIFS(加工订单!K:K,加工订单!C:C,A58,加工订单!A:A,"&lt;"&amp;TODAY()-90)</f>
        <v/>
      </c>
      <c r="F58" s="212">
        <f>SUM(B58:E58)</f>
        <v/>
      </c>
      <c r="G58" s="215">
        <f>IF(SUM($B$53:$B$60)=0,0,F58/SUM($F$53:$F$60))</f>
        <v/>
      </c>
    </row>
    <row r="59" ht="15" customHeight="1" s="96">
      <c r="A59" s="207" t="inlineStr">
        <is>
          <t>宏盛五金</t>
        </is>
      </c>
      <c r="B59" s="211">
        <f>SUMIFS(加工订单!K:K,加工订单!C:C,A59,加工订单!A:A,"&gt;="&amp;TODAY()-30)</f>
        <v/>
      </c>
      <c r="C59" s="211">
        <f>SUMIFS(加工订单!K:K,加工订单!C:C,A59,加工订单!A:A,"&gt;="&amp;TODAY()-60,加工订单!A:A,"&lt;"&amp;TODAY()-30)</f>
        <v/>
      </c>
      <c r="D59" s="211">
        <f>SUMIFS(加工订单!K:K,加工订单!C:C,A59,加工订单!A:A,"&gt;="&amp;TODAY()-90,加工订单!A:A,"&lt;"&amp;TODAY()-60)</f>
        <v/>
      </c>
      <c r="E59" s="211">
        <f>SUMIFS(加工订单!K:K,加工订单!C:C,A59,加工订单!A:A,"&lt;"&amp;TODAY()-90)</f>
        <v/>
      </c>
      <c r="F59" s="211">
        <f>SUM(B59:E59)</f>
        <v/>
      </c>
      <c r="G59" s="214">
        <f>IF(SUM($B$53:$B$60)=0,0,F59/SUM($F$53:$F$60))</f>
        <v/>
      </c>
    </row>
    <row r="60" ht="15" customHeight="1" s="96">
      <c r="A60" s="208" t="inlineStr">
        <is>
          <t>瑞丰金属</t>
        </is>
      </c>
      <c r="B60" s="212">
        <f>SUMIFS(加工订单!K:K,加工订单!C:C,A60,加工订单!A:A,"&gt;="&amp;TODAY()-30)</f>
        <v/>
      </c>
      <c r="C60" s="212">
        <f>SUMIFS(加工订单!K:K,加工订单!C:C,A60,加工订单!A:A,"&gt;="&amp;TODAY()-60,加工订单!A:A,"&lt;"&amp;TODAY()-30)</f>
        <v/>
      </c>
      <c r="D60" s="212">
        <f>SUMIFS(加工订单!K:K,加工订单!C:C,A60,加工订单!A:A,"&gt;="&amp;TODAY()-90,加工订单!A:A,"&lt;"&amp;TODAY()-60)</f>
        <v/>
      </c>
      <c r="E60" s="212">
        <f>SUMIFS(加工订单!K:K,加工订单!C:C,A60,加工订单!A:A,"&lt;"&amp;TODAY()-90)</f>
        <v/>
      </c>
      <c r="F60" s="212">
        <f>SUM(B60:E60)</f>
        <v/>
      </c>
      <c r="G60" s="215">
        <f>IF(SUM($B$53:$B$60)=0,0,F60/SUM($F$53:$F$60))</f>
        <v/>
      </c>
    </row>
    <row r="61" ht="15" customHeight="1" s="96">
      <c r="A61" s="209" t="inlineStr">
        <is>
          <t>合计</t>
        </is>
      </c>
      <c r="B61" s="209">
        <f>SUM(B53:B60)</f>
        <v/>
      </c>
      <c r="C61" s="209">
        <f>SUM(C53:C60)</f>
        <v/>
      </c>
      <c r="D61" s="209">
        <f>SUM(D53:D60)</f>
        <v/>
      </c>
      <c r="E61" s="209">
        <f>SUM(E53:E60)</f>
        <v/>
      </c>
      <c r="F61" s="209">
        <f>SUM(F53:F60)</f>
        <v/>
      </c>
      <c r="G61" s="216" t="n">
        <v>1</v>
      </c>
    </row>
    <row r="63" ht="15" customHeight="1" s="96">
      <c r="A63" s="210" t="inlineStr">
        <is>
          <t>应付账款账龄分析</t>
        </is>
      </c>
    </row>
    <row r="64" ht="15" customHeight="1" s="96">
      <c r="A64" s="206" t="inlineStr">
        <is>
          <t>供应商名称</t>
        </is>
      </c>
      <c r="B64" s="213" t="inlineStr">
        <is>
          <t>1-30天</t>
        </is>
      </c>
      <c r="C64" s="213" t="inlineStr">
        <is>
          <t>31-60天</t>
        </is>
      </c>
      <c r="D64" s="213" t="inlineStr">
        <is>
          <t>61-90天</t>
        </is>
      </c>
      <c r="E64" s="213" t="inlineStr">
        <is>
          <t>90天以上</t>
        </is>
      </c>
      <c r="F64" s="206" t="inlineStr">
        <is>
          <t>合计</t>
        </is>
      </c>
      <c r="G64" s="206" t="inlineStr">
        <is>
          <t>占比</t>
        </is>
      </c>
      <c r="H64" s="206" t="n"/>
      <c r="I64" s="206" t="n"/>
      <c r="J64" s="206" t="n"/>
    </row>
    <row r="65" ht="15" customHeight="1" s="96">
      <c r="A65" s="211" t="inlineStr">
        <is>
          <t>XX化工</t>
        </is>
      </c>
      <c r="B65" s="211">
        <f>SUMIFS(付款记录!D:D,付款记录!C:C,A65,付款记录!A:A,"&gt;="&amp;TODAY()-30)</f>
        <v/>
      </c>
      <c r="C65" s="211">
        <f>SUMIFS(付款记录!D:D,付款记录!C:C,A65,付款记录!A:A,"&gt;="&amp;TODAY()-60,付款记录!A:A,"&lt;"&amp;TODAY()-30)</f>
        <v/>
      </c>
      <c r="D65" s="211">
        <f>SUMIFS(付款记录!D:D,付款记录!C:C,A65,付款记录!A:A,"&gt;="&amp;TODAY()-90,付款记录!A:A,"&lt;"&amp;TODAY()-60)</f>
        <v/>
      </c>
      <c r="E65" s="211">
        <f>SUMIFS(付款记录!D:D,付款记录!C:C,A65,付款记录!A:A,"&lt;"&amp;TODAY()-90)</f>
        <v/>
      </c>
      <c r="F65" s="211">
        <f>SUM(B65:E65)</f>
        <v/>
      </c>
      <c r="G65" s="214">
        <f>IF(SUM($F$65:$F$69)=0,0,F65/SUM($F$65:$F$69))</f>
        <v/>
      </c>
    </row>
    <row r="66" ht="15" customHeight="1" s="96">
      <c r="A66" s="212" t="inlineStr">
        <is>
          <t>YY化工</t>
        </is>
      </c>
      <c r="B66" s="212">
        <f>SUMIFS(付款记录!D:D,付款记录!C:C,A66,付款记录!A:A,"&gt;="&amp;TODAY()-30)</f>
        <v/>
      </c>
      <c r="C66" s="212">
        <f>SUMIFS(付款记录!D:D,付款记录!C:C,A66,付款记录!A:A,"&gt;="&amp;TODAY()-60,付款记录!A:A,"&lt;"&amp;TODAY()-30)</f>
        <v/>
      </c>
      <c r="D66" s="212">
        <f>SUMIFS(付款记录!D:D,付款记录!C:C,A66,付款记录!A:A,"&gt;="&amp;TODAY()-90,付款记录!A:A,"&lt;"&amp;TODAY()-60)</f>
        <v/>
      </c>
      <c r="E66" s="212">
        <f>SUMIFS(付款记录!D:D,付款记录!C:C,A66,付款记录!A:A,"&lt;"&amp;TODAY()-90)</f>
        <v/>
      </c>
      <c r="F66" s="212">
        <f>SUM(B66:E66)</f>
        <v/>
      </c>
      <c r="G66" s="215">
        <f>IF(SUM($F$65:$F$69)=0,0,F66/SUM($F$65:$F$69))</f>
        <v/>
      </c>
    </row>
    <row r="67" ht="15" customHeight="1" s="96">
      <c r="A67" s="211" t="inlineStr">
        <is>
          <t>ZZ挂具厂</t>
        </is>
      </c>
      <c r="B67" s="211">
        <f>SUMIFS(付款记录!D:D,付款记录!C:C,A67,付款记录!A:A,"&gt;="&amp;TODAY()-30)</f>
        <v/>
      </c>
      <c r="C67" s="211">
        <f>SUMIFS(付款记录!D:D,付款记录!C:C,A67,付款记录!A:A,"&gt;="&amp;TODAY()-60,付款记录!A:A,"&lt;"&amp;TODAY()-30)</f>
        <v/>
      </c>
      <c r="D67" s="211">
        <f>SUMIFS(付款记录!D:D,付款记录!C:C,A67,付款记录!A:A,"&gt;="&amp;TODAY()-90,付款记录!A:A,"&lt;"&amp;TODAY()-60)</f>
        <v/>
      </c>
      <c r="E67" s="211">
        <f>SUMIFS(付款记录!D:D,付款记录!C:C,A67,付款记录!A:A,"&lt;"&amp;TODAY()-90)</f>
        <v/>
      </c>
      <c r="F67" s="211">
        <f>SUM(B67:E67)</f>
        <v/>
      </c>
      <c r="G67" s="214">
        <f>IF(SUM($F$65:$F$69)=0,0,F67/SUM($F$65:$F$69))</f>
        <v/>
      </c>
    </row>
    <row r="68" ht="15" customHeight="1" s="96">
      <c r="A68" s="212" t="inlineStr">
        <is>
          <t>AA喷砂厂</t>
        </is>
      </c>
      <c r="B68" s="212">
        <f>SUMIFS(付款记录!D:D,付款记录!C:C,A68,付款记录!A:A,"&gt;="&amp;TODAY()-30)</f>
        <v/>
      </c>
      <c r="C68" s="212">
        <f>SUMIFS(付款记录!D:D,付款记录!C:C,A68,付款记录!A:A,"&gt;="&amp;TODAY()-60,付款记录!A:A,"&lt;"&amp;TODAY()-30)</f>
        <v/>
      </c>
      <c r="D68" s="212">
        <f>SUMIFS(付款记录!D:D,付款记录!C:C,A68,付款记录!A:A,"&gt;="&amp;TODAY()-90,付款记录!A:A,"&lt;"&amp;TODAY()-60)</f>
        <v/>
      </c>
      <c r="E68" s="212">
        <f>SUMIFS(付款记录!D:D,付款记录!C:C,A68,付款记录!A:A,"&lt;"&amp;TODAY()-90)</f>
        <v/>
      </c>
      <c r="F68" s="212">
        <f>SUM(B68:E68)</f>
        <v/>
      </c>
      <c r="G68" s="215">
        <f>IF(SUM($F$65:$F$69)=0,0,F68/SUM($F$65:$F$69))</f>
        <v/>
      </c>
    </row>
    <row r="69" ht="15" customHeight="1" s="96">
      <c r="A69" s="211" t="inlineStr">
        <is>
          <t>BB抛光厂</t>
        </is>
      </c>
      <c r="B69" s="211">
        <f>SUMIFS(付款记录!D:D,付款记录!C:C,A69,付款记录!A:A,"&gt;="&amp;TODAY()-30)</f>
        <v/>
      </c>
      <c r="C69" s="211">
        <f>SUMIFS(付款记录!D:D,付款记录!C:C,A69,付款记录!A:A,"&gt;="&amp;TODAY()-60,付款记录!A:A,"&lt;"&amp;TODAY()-30)</f>
        <v/>
      </c>
      <c r="D69" s="211">
        <f>SUMIFS(付款记录!D:D,付款记录!C:C,A69,付款记录!A:A,"&gt;="&amp;TODAY()-90,付款记录!A:A,"&lt;"&amp;TODAY()-60)</f>
        <v/>
      </c>
      <c r="E69" s="211">
        <f>SUMIFS(付款记录!D:D,付款记录!C:C,A69,付款记录!A:A,"&lt;"&amp;TODAY()-90)</f>
        <v/>
      </c>
      <c r="F69" s="211">
        <f>SUM(B69:E69)</f>
        <v/>
      </c>
      <c r="G69" s="214">
        <f>IF(SUM($F$65:$F$69)=0,0,F69/SUM($F$65:$F$69))</f>
        <v/>
      </c>
    </row>
    <row r="70" ht="15" customHeight="1" s="96">
      <c r="A70" s="209" t="inlineStr">
        <is>
          <t>合计</t>
        </is>
      </c>
      <c r="B70" s="209">
        <f>SUM(B65:B69)</f>
        <v/>
      </c>
      <c r="C70" s="209">
        <f>SUM(C65:C69)</f>
        <v/>
      </c>
      <c r="D70" s="209">
        <f>SUM(D65:D69)</f>
        <v/>
      </c>
      <c r="E70" s="209">
        <f>SUM(E65:E69)</f>
        <v/>
      </c>
      <c r="F70" s="209">
        <f>SUM(F65:F69)</f>
        <v/>
      </c>
      <c r="G70" s="216" t="n">
        <v>1</v>
      </c>
    </row>
    <row r="72" ht="15" customHeight="1" s="96">
      <c r="A72" s="205" t="inlineStr">
        <is>
          <t>【催款提醒】</t>
        </is>
      </c>
    </row>
    <row r="73" ht="15" customHeight="1" s="96">
      <c r="A73" s="206" t="inlineStr">
        <is>
          <t>客户名称</t>
        </is>
      </c>
      <c r="B73" s="206" t="inlineStr">
        <is>
          <t>欠款金额</t>
        </is>
      </c>
      <c r="C73" s="206" t="inlineStr">
        <is>
          <t>逾期天数</t>
        </is>
      </c>
      <c r="D73" s="206" t="inlineStr">
        <is>
          <t>提醒级别</t>
        </is>
      </c>
      <c r="E73" s="206" t="inlineStr">
        <is>
          <t>建议操作</t>
        </is>
      </c>
      <c r="F73" s="206" t="n"/>
      <c r="G73" s="206" t="n"/>
      <c r="H73" s="206" t="n"/>
      <c r="I73" s="206" t="n"/>
      <c r="J73" s="206" t="n"/>
    </row>
    <row r="74" ht="15" customHeight="1" s="96">
      <c r="A74" s="207" t="inlineStr">
        <is>
          <t>永达五金厂</t>
        </is>
      </c>
      <c r="B74" s="211">
        <f>E3</f>
        <v/>
      </c>
      <c r="C74" s="211">
        <f>G3</f>
        <v/>
      </c>
      <c r="D74" s="211">
        <f>IF(C74&gt;90,"紧急催收",IF(C74&gt;60,"重点跟进",IF(C74&gt;30,"电话提醒","正常")))</f>
        <v/>
      </c>
      <c r="E74" s="211">
        <f>IF(C74&gt;90,"立即上门催收",IF(C74&gt;60,"发律师函",IF(C74&gt;30,"电话提醒付款","持续跟进")))</f>
        <v/>
      </c>
    </row>
    <row r="75" ht="15" customHeight="1" s="96">
      <c r="A75" s="207" t="inlineStr">
        <is>
          <t>恒丰铝业</t>
        </is>
      </c>
      <c r="B75" s="211">
        <f>E4</f>
        <v/>
      </c>
      <c r="C75" s="211">
        <f>G4</f>
        <v/>
      </c>
      <c r="D75" s="211">
        <f>IF(C75&gt;90,"紧急催收",IF(C75&gt;60,"重点跟进",IF(C75&gt;30,"电话提醒","正常")))</f>
        <v/>
      </c>
      <c r="E75" s="211">
        <f>IF(C75&gt;90,"立即上门催收",IF(C75&gt;60,"发律师函",IF(C75&gt;30,"电话提醒付款","持续跟进")))</f>
        <v/>
      </c>
    </row>
    <row r="76" ht="15" customHeight="1" s="96">
      <c r="A76" s="207" t="inlineStr">
        <is>
          <t>鑫达精密</t>
        </is>
      </c>
      <c r="B76" s="211">
        <f>E5</f>
        <v/>
      </c>
      <c r="C76" s="211">
        <f>G5</f>
        <v/>
      </c>
      <c r="D76" s="211">
        <f>IF(C76&gt;90,"紧急催收",IF(C76&gt;60,"重点跟进",IF(C76&gt;30,"电话提醒","正常")))</f>
        <v/>
      </c>
      <c r="E76" s="211">
        <f>IF(C76&gt;90,"立即上门催收",IF(C76&gt;60,"发律师函",IF(C76&gt;30,"电话提醒付款","持续跟进")))</f>
        <v/>
      </c>
    </row>
    <row r="77" ht="15" customHeight="1" s="96">
      <c r="A77" s="207" t="inlineStr">
        <is>
          <t>华泰金属</t>
        </is>
      </c>
      <c r="B77" s="211">
        <f>E6</f>
        <v/>
      </c>
      <c r="C77" s="211">
        <f>G6</f>
        <v/>
      </c>
      <c r="D77" s="211">
        <f>IF(C77&gt;90,"紧急催收",IF(C77&gt;60,"重点跟进",IF(C77&gt;30,"电话提醒","正常")))</f>
        <v/>
      </c>
      <c r="E77" s="211">
        <f>IF(C77&gt;90,"立即上门催收",IF(C77&gt;60,"发律师函",IF(C77&gt;30,"电话提醒付款","持续跟进")))</f>
        <v/>
      </c>
    </row>
    <row r="78" ht="15" customHeight="1" s="96">
      <c r="A78" s="207" t="inlineStr">
        <is>
          <t>博远五金</t>
        </is>
      </c>
      <c r="B78" s="211">
        <f>E7</f>
        <v/>
      </c>
      <c r="C78" s="211">
        <f>G7</f>
        <v/>
      </c>
      <c r="D78" s="211">
        <f>IF(C78&gt;90,"紧急催收",IF(C78&gt;60,"重点跟进",IF(C78&gt;30,"电话提醒","正常")))</f>
        <v/>
      </c>
      <c r="E78" s="211">
        <f>IF(C78&gt;90,"立即上门催收",IF(C78&gt;60,"发律师函",IF(C78&gt;30,"电话提醒付款","持续跟进")))</f>
        <v/>
      </c>
    </row>
    <row r="79" ht="15" customHeight="1" s="96">
      <c r="A79" s="207" t="inlineStr">
        <is>
          <t>天成铝材</t>
        </is>
      </c>
      <c r="B79" s="211">
        <f>E8</f>
        <v/>
      </c>
      <c r="C79" s="211">
        <f>G8</f>
        <v/>
      </c>
      <c r="D79" s="211">
        <f>IF(C79&gt;90,"紧急催收",IF(C79&gt;60,"重点跟进",IF(C79&gt;30,"电话提醒","正常")))</f>
        <v/>
      </c>
      <c r="E79" s="211">
        <f>IF(C79&gt;90,"立即上门催收",IF(C79&gt;60,"发律师函",IF(C79&gt;30,"电话提醒付款","持续跟进")))</f>
        <v/>
      </c>
    </row>
    <row r="80" ht="15" customHeight="1" s="96">
      <c r="A80" s="207" t="inlineStr">
        <is>
          <t>宏盛五金</t>
        </is>
      </c>
      <c r="B80" s="211">
        <f>E9</f>
        <v/>
      </c>
      <c r="C80" s="211">
        <f>G9</f>
        <v/>
      </c>
      <c r="D80" s="211">
        <f>IF(C80&gt;90,"紧急催收",IF(C80&gt;60,"重点跟进",IF(C80&gt;30,"电话提醒","正常")))</f>
        <v/>
      </c>
      <c r="E80" s="211">
        <f>IF(C80&gt;90,"立即上门催收",IF(C80&gt;60,"发律师函",IF(C80&gt;30,"电话提醒付款","持续跟进")))</f>
        <v/>
      </c>
    </row>
    <row r="81" ht="15" customHeight="1" s="96">
      <c r="A81" s="207" t="inlineStr">
        <is>
          <t>瑞丰金属</t>
        </is>
      </c>
      <c r="B81" s="211">
        <f>E10</f>
        <v/>
      </c>
      <c r="C81" s="211">
        <f>G10</f>
        <v/>
      </c>
      <c r="D81" s="211">
        <f>IF(C81&gt;90,"紧急催收",IF(C81&gt;60,"重点跟进",IF(C81&gt;30,"电话提醒","正常")))</f>
        <v/>
      </c>
      <c r="E81" s="211">
        <f>IF(C81&gt;90,"立即上门催收",IF(C81&gt;60,"发律师函",IF(C81&gt;30,"电话提醒付款","持续跟进")))</f>
        <v/>
      </c>
    </row>
    <row r="83" ht="15" customHeight="1" s="96">
      <c r="A83" s="217" t="inlineStr">
        <is>
          <t>说明：红色=逾期&gt;90天(紧急)，橙色=逾期60-90天(重点)，黄色=逾期30-60天(提醒)</t>
        </is>
      </c>
    </row>
  </sheetData>
  <mergeCells count="11">
    <mergeCell ref="A1:J1"/>
    <mergeCell ref="A23:J23"/>
    <mergeCell ref="A32:J32"/>
    <mergeCell ref="A14:J14"/>
    <mergeCell ref="A51:E51"/>
    <mergeCell ref="A63:E63"/>
    <mergeCell ref="A50:J50"/>
    <mergeCell ref="A83:J83"/>
    <mergeCell ref="A72:J72"/>
    <mergeCell ref="A41:J41"/>
    <mergeCell ref="A13:J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style="96" min="1" max="1"/>
    <col width="12" customWidth="1" style="96" min="2" max="2"/>
    <col width="25" customWidth="1" style="96" min="3" max="3"/>
    <col width="12" customWidth="1" style="96" min="4" max="4"/>
    <col width="20" customWidth="1" style="96" min="5" max="5"/>
    <col width="15" customWidth="1" style="96" min="6" max="6"/>
    <col width="15" customWidth="1" style="96" min="7" max="7"/>
    <col width="10" customWidth="1" style="96" min="8" max="8"/>
  </cols>
  <sheetData>
    <row r="1">
      <c r="A1" s="218" t="inlineStr">
        <is>
          <t>会计凭证</t>
        </is>
      </c>
    </row>
    <row r="3">
      <c r="A3" s="219" t="inlineStr">
        <is>
          <t>凭证日期</t>
        </is>
      </c>
      <c r="B3" s="219" t="inlineStr">
        <is>
          <t>凭证字号</t>
        </is>
      </c>
      <c r="C3" s="219" t="inlineStr">
        <is>
          <t>摘要</t>
        </is>
      </c>
      <c r="D3" s="219" t="inlineStr">
        <is>
          <t>科目代码</t>
        </is>
      </c>
      <c r="E3" s="219" t="inlineStr">
        <is>
          <t>科目名称</t>
        </is>
      </c>
      <c r="F3" s="219" t="inlineStr">
        <is>
          <t>借方金额</t>
        </is>
      </c>
      <c r="G3" s="219" t="inlineStr">
        <is>
          <t>贷方金额</t>
        </is>
      </c>
      <c r="H3" s="219" t="inlineStr">
        <is>
          <t>附件张数</t>
        </is>
      </c>
    </row>
    <row r="4">
      <c r="A4" s="220" t="inlineStr">
        <is>
          <t>2024-01-15</t>
        </is>
      </c>
      <c r="B4" s="220" t="inlineStr">
        <is>
          <t>记-001</t>
        </is>
      </c>
      <c r="C4" s="220" t="inlineStr">
        <is>
          <t>销售氧化加工产品</t>
        </is>
      </c>
      <c r="D4" s="220" t="inlineStr">
        <is>
          <t>1122</t>
        </is>
      </c>
      <c r="E4" s="220" t="inlineStr">
        <is>
          <t>应收账款-客户A</t>
        </is>
      </c>
      <c r="F4" s="221" t="n">
        <v>11300</v>
      </c>
      <c r="G4" s="221" t="n">
        <v>0</v>
      </c>
      <c r="H4" s="222" t="n">
        <v>2</v>
      </c>
    </row>
    <row r="5">
      <c r="A5" s="220" t="inlineStr">
        <is>
          <t>2024-01-15</t>
        </is>
      </c>
      <c r="B5" s="220" t="inlineStr">
        <is>
          <t>记-001</t>
        </is>
      </c>
      <c r="C5" s="220" t="inlineStr">
        <is>
          <t>销售氧化加工产品</t>
        </is>
      </c>
      <c r="D5" s="220" t="inlineStr">
        <is>
          <t>6001</t>
        </is>
      </c>
      <c r="E5" s="220" t="inlineStr">
        <is>
          <t>主营业务收入</t>
        </is>
      </c>
      <c r="F5" s="221" t="n">
        <v>0</v>
      </c>
      <c r="G5" s="221" t="n">
        <v>10000</v>
      </c>
      <c r="H5" s="222" t="n">
        <v>2</v>
      </c>
    </row>
    <row r="6">
      <c r="A6" s="220" t="inlineStr">
        <is>
          <t>2024-01-15</t>
        </is>
      </c>
      <c r="B6" s="220" t="inlineStr">
        <is>
          <t>记-001</t>
        </is>
      </c>
      <c r="C6" s="220" t="inlineStr">
        <is>
          <t>销售氧化加工产品</t>
        </is>
      </c>
      <c r="D6" s="220" t="inlineStr">
        <is>
          <t>2221</t>
        </is>
      </c>
      <c r="E6" s="220" t="inlineStr">
        <is>
          <t>应交税费-应交增值税</t>
        </is>
      </c>
      <c r="F6" s="221" t="n">
        <v>0</v>
      </c>
      <c r="G6" s="221" t="n">
        <v>1300</v>
      </c>
      <c r="H6" s="222" t="n">
        <v>2</v>
      </c>
    </row>
    <row r="7">
      <c r="A7" s="220" t="inlineStr">
        <is>
          <t>2024-01-16</t>
        </is>
      </c>
      <c r="B7" s="220" t="inlineStr">
        <is>
          <t>记-002</t>
        </is>
      </c>
      <c r="C7" s="220" t="inlineStr">
        <is>
          <t>收到客户A货款</t>
        </is>
      </c>
      <c r="D7" s="220" t="inlineStr">
        <is>
          <t>1002</t>
        </is>
      </c>
      <c r="E7" s="220" t="inlineStr">
        <is>
          <t>银行存款-G银行</t>
        </is>
      </c>
      <c r="F7" s="221" t="n">
        <v>11300</v>
      </c>
      <c r="G7" s="221" t="n">
        <v>0</v>
      </c>
      <c r="H7" s="222" t="n">
        <v>1</v>
      </c>
    </row>
    <row r="8">
      <c r="A8" s="220" t="inlineStr">
        <is>
          <t>2024-01-16</t>
        </is>
      </c>
      <c r="B8" s="220" t="inlineStr">
        <is>
          <t>记-002</t>
        </is>
      </c>
      <c r="C8" s="220" t="inlineStr">
        <is>
          <t>收到客户A货款</t>
        </is>
      </c>
      <c r="D8" s="220" t="inlineStr">
        <is>
          <t>1122</t>
        </is>
      </c>
      <c r="E8" s="220" t="inlineStr">
        <is>
          <t>应收账款-客户A</t>
        </is>
      </c>
      <c r="F8" s="221" t="n">
        <v>0</v>
      </c>
      <c r="G8" s="221" t="n">
        <v>11300</v>
      </c>
      <c r="H8" s="222" t="n">
        <v>1</v>
      </c>
    </row>
    <row r="10">
      <c r="A10" s="223" t="inlineStr">
        <is>
          <t>说明：</t>
        </is>
      </c>
    </row>
    <row r="11">
      <c r="A11" t="inlineStr">
        <is>
          <t>1. 凭证字号格式：记-XXX（记账凭证）</t>
        </is>
      </c>
    </row>
    <row r="12">
      <c r="A12" t="inlineStr">
        <is>
          <t>2. 科目代码遵循小企业会计准则科目表</t>
        </is>
      </c>
    </row>
    <row r="13">
      <c r="A13" t="inlineStr">
        <is>
          <t>3. 借方金额+贷方金额必须相等（借贷平衡）</t>
        </is>
      </c>
    </row>
    <row r="14">
      <c r="A14" t="inlineStr">
        <is>
          <t>4. 可通过VBA宏从业务单据自动生成凭证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style="96" min="1" max="1"/>
    <col width="15" customWidth="1" style="96" min="2" max="2"/>
    <col width="15" customWidth="1" style="96" min="3" max="3"/>
    <col width="12" customWidth="1" style="96" min="4" max="4"/>
    <col width="12" customWidth="1" style="96" min="5" max="5"/>
    <col width="12" customWidth="1" style="96" min="6" max="6"/>
    <col width="15" customWidth="1" style="96" min="7" max="7"/>
    <col width="10" customWidth="1" style="96" min="8" max="8"/>
    <col width="15" customWidth="1" style="96" min="9" max="9"/>
    <col width="10" customWidth="1" style="96" min="10" max="10"/>
    <col width="10" customWidth="1" style="96" min="11" max="11"/>
    <col width="12" customWidth="1" style="96" min="12" max="12"/>
  </cols>
  <sheetData>
    <row r="1">
      <c r="A1" s="218" t="inlineStr">
        <is>
          <t>银行对账</t>
        </is>
      </c>
    </row>
    <row r="3">
      <c r="A3" s="224" t="inlineStr">
        <is>
          <t>G银行对公账户对账</t>
        </is>
      </c>
    </row>
    <row r="4">
      <c r="A4" s="219" t="inlineStr">
        <is>
          <t>对账日期</t>
        </is>
      </c>
      <c r="B4" s="219" t="inlineStr">
        <is>
          <t>银行流水号</t>
        </is>
      </c>
      <c r="C4" s="219" t="inlineStr">
        <is>
          <t>对方户名</t>
        </is>
      </c>
      <c r="D4" s="219" t="inlineStr">
        <is>
          <t>收入金额</t>
        </is>
      </c>
      <c r="E4" s="219" t="inlineStr">
        <is>
          <t>支出金额</t>
        </is>
      </c>
      <c r="F4" s="219" t="inlineStr">
        <is>
          <t>余额</t>
        </is>
      </c>
      <c r="G4" s="219" t="inlineStr">
        <is>
          <t>系统匹配</t>
        </is>
      </c>
      <c r="H4" s="219" t="inlineStr">
        <is>
          <t>匹配状态</t>
        </is>
      </c>
      <c r="I4" s="219" t="inlineStr">
        <is>
          <t>差异说明</t>
        </is>
      </c>
      <c r="J4" s="219" t="inlineStr">
        <is>
          <t>对账标记</t>
        </is>
      </c>
      <c r="K4" s="219" t="inlineStr">
        <is>
          <t>对账人</t>
        </is>
      </c>
      <c r="L4" s="219" t="inlineStr">
        <is>
          <t>对账时间</t>
        </is>
      </c>
    </row>
    <row r="5">
      <c r="A5" t="inlineStr">
        <is>
          <t>2024-01-15</t>
        </is>
      </c>
      <c r="B5" t="inlineStr">
        <is>
          <t>BX20240115001</t>
        </is>
      </c>
      <c r="C5" t="inlineStr">
        <is>
          <t>客户A</t>
        </is>
      </c>
      <c r="D5" s="225" t="n">
        <v>11300</v>
      </c>
      <c r="E5" s="225" t="n">
        <v>0</v>
      </c>
      <c r="F5" s="225" t="n">
        <v>51300</v>
      </c>
      <c r="G5" t="inlineStr">
        <is>
          <t>SK20240115001</t>
        </is>
      </c>
      <c r="H5" s="226" t="inlineStr">
        <is>
          <t>已匹配</t>
        </is>
      </c>
      <c r="I5" t="inlineStr"/>
      <c r="J5" t="inlineStr">
        <is>
          <t>√</t>
        </is>
      </c>
      <c r="K5" t="inlineStr">
        <is>
          <t>张会计</t>
        </is>
      </c>
      <c r="L5" t="inlineStr">
        <is>
          <t>2024-01-16</t>
        </is>
      </c>
    </row>
    <row r="6">
      <c r="A6" t="inlineStr">
        <is>
          <t>2024-01-15</t>
        </is>
      </c>
      <c r="B6" t="inlineStr">
        <is>
          <t>BX20240115002</t>
        </is>
      </c>
      <c r="C6" t="inlineStr">
        <is>
          <t>硫酸供应商</t>
        </is>
      </c>
      <c r="D6" s="225" t="n">
        <v>0</v>
      </c>
      <c r="E6" s="225" t="n">
        <v>5000</v>
      </c>
      <c r="F6" s="225" t="n">
        <v>46300</v>
      </c>
      <c r="G6" t="inlineStr">
        <is>
          <t>FK20240115002</t>
        </is>
      </c>
      <c r="H6" s="226" t="inlineStr">
        <is>
          <t>已匹配</t>
        </is>
      </c>
      <c r="I6" t="inlineStr"/>
      <c r="J6" t="inlineStr">
        <is>
          <t>√</t>
        </is>
      </c>
      <c r="K6" t="inlineStr">
        <is>
          <t>张会计</t>
        </is>
      </c>
      <c r="L6" t="inlineStr">
        <is>
          <t>2024-01-16</t>
        </is>
      </c>
    </row>
    <row r="7">
      <c r="A7" t="inlineStr">
        <is>
          <t>2024-01-16</t>
        </is>
      </c>
      <c r="B7" t="inlineStr">
        <is>
          <t>BX20240116001</t>
        </is>
      </c>
      <c r="C7" t="inlineStr">
        <is>
          <t>客户B</t>
        </is>
      </c>
      <c r="D7" s="225" t="n">
        <v>5600</v>
      </c>
      <c r="E7" s="225" t="n">
        <v>0</v>
      </c>
      <c r="F7" s="225" t="n">
        <v>51900</v>
      </c>
      <c r="G7" t="inlineStr"/>
      <c r="H7" s="227" t="inlineStr">
        <is>
          <t>未匹配</t>
        </is>
      </c>
      <c r="I7" t="inlineStr">
        <is>
          <t>待核实</t>
        </is>
      </c>
      <c r="J7" t="inlineStr"/>
      <c r="K7" t="inlineStr"/>
      <c r="L7" t="inlineStr"/>
    </row>
    <row r="8">
      <c r="A8" t="inlineStr">
        <is>
          <t>2024-01-16</t>
        </is>
      </c>
      <c r="B8" t="inlineStr">
        <is>
          <t>BX20240116002</t>
        </is>
      </c>
      <c r="C8" t="inlineStr">
        <is>
          <t>手续费</t>
        </is>
      </c>
      <c r="D8" s="225" t="n">
        <v>0</v>
      </c>
      <c r="E8" s="225" t="n">
        <v>15</v>
      </c>
      <c r="F8" s="225" t="n">
        <v>51885</v>
      </c>
      <c r="G8" t="inlineStr"/>
      <c r="H8" s="227" t="inlineStr">
        <is>
          <t>未匹配</t>
        </is>
      </c>
      <c r="I8" t="inlineStr">
        <is>
          <t>银行手续费</t>
        </is>
      </c>
      <c r="J8" t="inlineStr"/>
      <c r="K8" t="inlineStr"/>
      <c r="L8" t="inlineStr"/>
    </row>
    <row r="11">
      <c r="A11" s="228" t="inlineStr">
        <is>
          <t>N银行/微信账户对账</t>
        </is>
      </c>
    </row>
    <row r="12">
      <c r="A12" s="229" t="inlineStr">
        <is>
          <t>对账日期</t>
        </is>
      </c>
      <c r="B12" s="229" t="inlineStr">
        <is>
          <t>银行流水号</t>
        </is>
      </c>
      <c r="C12" s="229" t="inlineStr">
        <is>
          <t>对方户名</t>
        </is>
      </c>
      <c r="D12" s="229" t="inlineStr">
        <is>
          <t>收入金额</t>
        </is>
      </c>
      <c r="E12" s="229" t="inlineStr">
        <is>
          <t>支出金额</t>
        </is>
      </c>
      <c r="F12" s="229" t="inlineStr">
        <is>
          <t>余额</t>
        </is>
      </c>
      <c r="G12" s="229" t="inlineStr">
        <is>
          <t>系统匹配</t>
        </is>
      </c>
      <c r="H12" s="229" t="inlineStr">
        <is>
          <t>匹配状态</t>
        </is>
      </c>
      <c r="I12" s="229" t="inlineStr">
        <is>
          <t>差异说明</t>
        </is>
      </c>
      <c r="J12" s="229" t="inlineStr">
        <is>
          <t>对账标记</t>
        </is>
      </c>
      <c r="K12" s="229" t="inlineStr">
        <is>
          <t>对账人</t>
        </is>
      </c>
      <c r="L12" s="229" t="inlineStr">
        <is>
          <t>对账时间</t>
        </is>
      </c>
    </row>
    <row r="18">
      <c r="A18" s="223" t="inlineStr">
        <is>
          <t>说明：</t>
        </is>
      </c>
    </row>
    <row r="19">
      <c r="A19" t="inlineStr">
        <is>
          <t>1. 从网银导出Excel流水，使用VBA宏批量导入</t>
        </is>
      </c>
    </row>
    <row r="20">
      <c r="A20" t="inlineStr">
        <is>
          <t>2. 系统自动匹配系统内的收付款记录</t>
        </is>
      </c>
    </row>
    <row r="21">
      <c r="A21" t="inlineStr">
        <is>
          <t>3. 未匹配项需人工核实原因（可能是手续费、利息等）</t>
        </is>
      </c>
    </row>
    <row r="22">
      <c r="A22" t="inlineStr">
        <is>
          <t>4. 对账完成后生成银行余额调节表</t>
        </is>
      </c>
    </row>
  </sheetData>
  <mergeCells count="1">
    <mergeCell ref="A1:L1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style="96" min="1" max="1"/>
    <col width="12" customWidth="1" style="96" min="2" max="2"/>
    <col width="12" customWidth="1" style="96" min="3" max="3"/>
    <col width="10" customWidth="1" style="96" min="4" max="4"/>
    <col width="8" customWidth="1" style="96" min="5" max="5"/>
    <col width="12" customWidth="1" style="96" min="6" max="6"/>
    <col width="12" customWidth="1" style="96" min="7" max="7"/>
    <col width="12" customWidth="1" style="96" min="8" max="8"/>
    <col width="12" customWidth="1" style="96" min="9" max="9"/>
    <col width="12" customWidth="1" style="96" min="10" max="10"/>
    <col width="12" customWidth="1" style="96" min="11" max="11"/>
    <col width="10" customWidth="1" style="96" min="12" max="12"/>
    <col width="10" customWidth="1" style="96" min="13" max="13"/>
  </cols>
  <sheetData>
    <row r="1">
      <c r="A1" s="218" t="inlineStr">
        <is>
          <t>订单成本利润分析</t>
        </is>
      </c>
    </row>
    <row r="3">
      <c r="A3" s="230" t="inlineStr">
        <is>
          <t>订单号</t>
        </is>
      </c>
      <c r="B3" s="230" t="inlineStr">
        <is>
          <t>客户名称</t>
        </is>
      </c>
      <c r="C3" s="230" t="inlineStr">
        <is>
          <t>产品名称</t>
        </is>
      </c>
      <c r="D3" s="230" t="inlineStr">
        <is>
          <t>加工数量</t>
        </is>
      </c>
      <c r="E3" s="230" t="inlineStr">
        <is>
          <t>单位</t>
        </is>
      </c>
      <c r="F3" s="230" t="inlineStr">
        <is>
          <t>加工收入</t>
        </is>
      </c>
      <c r="G3" s="230" t="inlineStr">
        <is>
          <t>材料成本</t>
        </is>
      </c>
      <c r="H3" s="230" t="inlineStr">
        <is>
          <t>人工成本</t>
        </is>
      </c>
      <c r="I3" s="230" t="inlineStr">
        <is>
          <t>制造费用</t>
        </is>
      </c>
      <c r="J3" s="230" t="inlineStr">
        <is>
          <t>成本合计</t>
        </is>
      </c>
      <c r="K3" s="230" t="inlineStr">
        <is>
          <t>订单毛利</t>
        </is>
      </c>
      <c r="L3" s="230" t="inlineStr">
        <is>
          <t>毛利率</t>
        </is>
      </c>
      <c r="M3" s="230" t="inlineStr">
        <is>
          <t>盈亏状态</t>
        </is>
      </c>
    </row>
    <row r="4">
      <c r="A4" t="inlineStr">
        <is>
          <t>DD202401001</t>
        </is>
      </c>
      <c r="B4" t="inlineStr">
        <is>
          <t>客户A</t>
        </is>
      </c>
      <c r="C4" t="inlineStr">
        <is>
          <t>铝件氧化</t>
        </is>
      </c>
      <c r="D4" t="n">
        <v>1000</v>
      </c>
      <c r="E4" t="inlineStr">
        <is>
          <t>件</t>
        </is>
      </c>
      <c r="F4" s="225" t="n">
        <v>5000</v>
      </c>
      <c r="G4" s="225" t="n">
        <v>800</v>
      </c>
      <c r="H4" s="225" t="n">
        <v>1200</v>
      </c>
      <c r="I4" s="225" t="n">
        <v>400</v>
      </c>
      <c r="J4" s="225" t="n">
        <v>2400</v>
      </c>
      <c r="K4" s="225" t="n">
        <v>2600</v>
      </c>
      <c r="L4" t="inlineStr">
        <is>
          <t>52.0%</t>
        </is>
      </c>
      <c r="M4" s="231" t="inlineStr">
        <is>
          <t>盈利</t>
        </is>
      </c>
    </row>
    <row r="5">
      <c r="A5" t="inlineStr">
        <is>
          <t>DD202401002</t>
        </is>
      </c>
      <c r="B5" t="inlineStr">
        <is>
          <t>客户B</t>
        </is>
      </c>
      <c r="C5" t="inlineStr">
        <is>
          <t>不锈钢拉丝</t>
        </is>
      </c>
      <c r="D5" t="n">
        <v>500</v>
      </c>
      <c r="E5" t="inlineStr">
        <is>
          <t>件</t>
        </is>
      </c>
      <c r="F5" s="225" t="n">
        <v>3500</v>
      </c>
      <c r="G5" s="225" t="n">
        <v>600</v>
      </c>
      <c r="H5" s="225" t="n">
        <v>900</v>
      </c>
      <c r="I5" s="225" t="n">
        <v>300</v>
      </c>
      <c r="J5" s="225" t="n">
        <v>1800</v>
      </c>
      <c r="K5" s="225" t="n">
        <v>1700</v>
      </c>
      <c r="L5" t="inlineStr">
        <is>
          <t>48.6%</t>
        </is>
      </c>
      <c r="M5" s="231" t="inlineStr">
        <is>
          <t>盈利</t>
        </is>
      </c>
    </row>
    <row r="6">
      <c r="A6" t="inlineStr">
        <is>
          <t>DD202401003</t>
        </is>
      </c>
      <c r="B6" t="inlineStr">
        <is>
          <t>客户C</t>
        </is>
      </c>
      <c r="C6" t="inlineStr">
        <is>
          <t>小件抛光</t>
        </is>
      </c>
      <c r="D6" t="n">
        <v>200</v>
      </c>
      <c r="E6" t="inlineStr">
        <is>
          <t>件</t>
        </is>
      </c>
      <c r="F6" s="225" t="n">
        <v>400</v>
      </c>
      <c r="G6" s="225" t="n">
        <v>150</v>
      </c>
      <c r="H6" s="225" t="n">
        <v>300</v>
      </c>
      <c r="I6" s="225" t="n">
        <v>100</v>
      </c>
      <c r="J6" s="225" t="n">
        <v>550</v>
      </c>
      <c r="K6" s="225" t="n">
        <v>-150</v>
      </c>
      <c r="L6" t="inlineStr">
        <is>
          <t>-37.5%</t>
        </is>
      </c>
      <c r="M6" s="232" t="inlineStr">
        <is>
          <t>亏损</t>
        </is>
      </c>
    </row>
    <row r="8">
      <c r="A8" s="223" t="inlineStr">
        <is>
          <t>成本构成说明：</t>
        </is>
      </c>
    </row>
    <row r="9">
      <c r="A9" t="inlineStr">
        <is>
          <t>材料成本 = 直接材料（三酸、色粉等）</t>
        </is>
      </c>
    </row>
    <row r="10">
      <c r="A10" t="inlineStr">
        <is>
          <t>人工成本 = 工序工时 × 人工费率</t>
        </is>
      </c>
    </row>
    <row r="11">
      <c r="A11" t="inlineStr">
        <is>
          <t>制造费用 = 水电费、折旧等分摊</t>
        </is>
      </c>
    </row>
    <row r="12">
      <c r="A12" t="inlineStr">
        <is>
          <t>订单毛利 = 加工收入 - 材料成本 - 人工成本 - 制造费用</t>
        </is>
      </c>
    </row>
    <row r="13">
      <c r="A13" t="inlineStr">
        <is>
          <t>毛利率 = 订单毛利 ÷ 加工收入 × 100%</t>
        </is>
      </c>
    </row>
  </sheetData>
  <mergeCells count="1">
    <mergeCell ref="A1:M1"/>
  </mergeCell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style="96" min="1" max="1"/>
    <col width="12" customWidth="1" style="96" min="2" max="2"/>
    <col width="12" customWidth="1" style="96" min="3" max="3"/>
    <col width="12" customWidth="1" style="96" min="4" max="4"/>
    <col width="12" customWidth="1" style="96" min="5" max="5"/>
    <col width="12" customWidth="1" style="96" min="6" max="6"/>
    <col width="12" customWidth="1" style="96" min="7" max="7"/>
    <col width="12" customWidth="1" style="96" min="8" max="8"/>
    <col width="12" customWidth="1" style="96" min="9" max="9"/>
    <col width="12" customWidth="1" style="96" min="10" max="10"/>
    <col width="12" customWidth="1" style="96" min="11" max="11"/>
    <col width="12" customWidth="1" style="96" min="12" max="12"/>
  </cols>
  <sheetData>
    <row r="1">
      <c r="A1" s="218" t="inlineStr">
        <is>
          <t>财务分析仪表盘</t>
        </is>
      </c>
    </row>
    <row r="3">
      <c r="A3" s="224" t="inlineStr">
        <is>
          <t>一、资金状况</t>
        </is>
      </c>
      <c r="H3" s="233" t="inlineStr">
        <is>
          <t>四、关键财务指标</t>
        </is>
      </c>
    </row>
    <row r="4">
      <c r="A4" s="234" t="inlineStr">
        <is>
          <t>账户</t>
        </is>
      </c>
      <c r="B4" s="234" t="inlineStr">
        <is>
          <t>期初余额</t>
        </is>
      </c>
      <c r="C4" s="234" t="inlineStr">
        <is>
          <t>本期收入</t>
        </is>
      </c>
      <c r="D4" s="234" t="inlineStr">
        <is>
          <t>本期支出</t>
        </is>
      </c>
      <c r="E4" s="234" t="inlineStr">
        <is>
          <t>期末余额</t>
        </is>
      </c>
      <c r="F4" s="234" t="inlineStr">
        <is>
          <t>可用资金</t>
        </is>
      </c>
      <c r="H4" s="235" t="inlineStr">
        <is>
          <t>指标</t>
        </is>
      </c>
      <c r="I4" s="235" t="inlineStr">
        <is>
          <t>本月</t>
        </is>
      </c>
      <c r="J4" s="235" t="inlineStr">
        <is>
          <t>上月</t>
        </is>
      </c>
      <c r="K4" s="235" t="inlineStr">
        <is>
          <t>同比</t>
        </is>
      </c>
      <c r="L4" s="235" t="inlineStr">
        <is>
          <t>目标</t>
        </is>
      </c>
    </row>
    <row r="5">
      <c r="A5" t="inlineStr">
        <is>
          <t>G银行（对公）</t>
        </is>
      </c>
      <c r="B5" s="225" t="n">
        <v>40000</v>
      </c>
      <c r="C5" s="225" t="n">
        <v>25000</v>
      </c>
      <c r="D5" s="225" t="n">
        <v>15000</v>
      </c>
      <c r="E5" s="225" t="n">
        <v>50000</v>
      </c>
      <c r="F5" s="225" t="n">
        <v>50000</v>
      </c>
      <c r="H5" t="inlineStr">
        <is>
          <t>营业收入</t>
        </is>
      </c>
      <c r="I5" t="n">
        <v>63000</v>
      </c>
      <c r="J5" t="n">
        <v>58000</v>
      </c>
      <c r="K5" t="inlineStr">
        <is>
          <t>+8.6%</t>
        </is>
      </c>
      <c r="L5" t="n">
        <v>60000</v>
      </c>
    </row>
    <row r="6">
      <c r="A6" t="inlineStr">
        <is>
          <t>N银行/微信（现金）</t>
        </is>
      </c>
      <c r="B6" s="225" t="n">
        <v>15000</v>
      </c>
      <c r="C6" s="225" t="n">
        <v>8000</v>
      </c>
      <c r="D6" s="225" t="n">
        <v>5000</v>
      </c>
      <c r="E6" s="225" t="n">
        <v>18000</v>
      </c>
      <c r="F6" s="225" t="n">
        <v>18000</v>
      </c>
      <c r="H6" t="inlineStr">
        <is>
          <t>毛利率</t>
        </is>
      </c>
      <c r="I6" t="inlineStr">
        <is>
          <t>46.7%</t>
        </is>
      </c>
      <c r="J6" t="inlineStr">
        <is>
          <t>45.2%</t>
        </is>
      </c>
      <c r="K6" t="inlineStr">
        <is>
          <t>+1.5%</t>
        </is>
      </c>
      <c r="L6" t="inlineStr">
        <is>
          <t>45%</t>
        </is>
      </c>
    </row>
    <row r="7">
      <c r="A7" s="236" t="inlineStr">
        <is>
          <t>合计</t>
        </is>
      </c>
      <c r="B7" s="237" t="n">
        <v>55000</v>
      </c>
      <c r="C7" s="237" t="n">
        <v>33000</v>
      </c>
      <c r="D7" s="237" t="n">
        <v>20000</v>
      </c>
      <c r="E7" s="237" t="n">
        <v>68000</v>
      </c>
      <c r="F7" s="237" t="n">
        <v>68000</v>
      </c>
      <c r="H7" t="inlineStr">
        <is>
          <t>净利率</t>
        </is>
      </c>
      <c r="I7" t="inlineStr">
        <is>
          <t>32.1%</t>
        </is>
      </c>
      <c r="J7" t="inlineStr">
        <is>
          <t>30.5%</t>
        </is>
      </c>
      <c r="K7" t="inlineStr">
        <is>
          <t>+1.6%</t>
        </is>
      </c>
      <c r="L7" t="inlineStr">
        <is>
          <t>30%</t>
        </is>
      </c>
    </row>
    <row r="8">
      <c r="H8" t="inlineStr">
        <is>
          <t>应收账款周转天数</t>
        </is>
      </c>
      <c r="I8" t="n">
        <v>15</v>
      </c>
      <c r="J8" t="n">
        <v>18</v>
      </c>
      <c r="K8" t="inlineStr">
        <is>
          <t>-3天</t>
        </is>
      </c>
      <c r="L8" t="inlineStr">
        <is>
          <t>20天</t>
        </is>
      </c>
    </row>
    <row r="9">
      <c r="H9" t="inlineStr">
        <is>
          <t>人均产值</t>
        </is>
      </c>
      <c r="I9" t="n">
        <v>12600</v>
      </c>
      <c r="J9" t="n">
        <v>11600</v>
      </c>
      <c r="K9" t="inlineStr">
        <is>
          <t>+8.6%</t>
        </is>
      </c>
      <c r="L9" t="n">
        <v>12000</v>
      </c>
    </row>
    <row r="10">
      <c r="A10" s="228" t="inlineStr">
        <is>
          <t>二、应收应付结构</t>
        </is>
      </c>
    </row>
    <row r="11">
      <c r="A11" s="238" t="inlineStr">
        <is>
          <t>项目</t>
        </is>
      </c>
      <c r="B11" s="238" t="inlineStr">
        <is>
          <t>金额</t>
        </is>
      </c>
      <c r="C11" s="238" t="inlineStr">
        <is>
          <t>占比</t>
        </is>
      </c>
      <c r="D11" s="238" t="inlineStr">
        <is>
          <t>账龄</t>
        </is>
      </c>
      <c r="E11" s="238" t="inlineStr">
        <is>
          <t>风险等级</t>
        </is>
      </c>
    </row>
    <row r="12">
      <c r="A12" t="inlineStr">
        <is>
          <t>应收账款</t>
        </is>
      </c>
      <c r="B12" s="225" t="n">
        <v>15000</v>
      </c>
      <c r="C12" t="inlineStr">
        <is>
          <t>22.1%</t>
        </is>
      </c>
      <c r="D12" t="inlineStr">
        <is>
          <t>30天内</t>
        </is>
      </c>
      <c r="E12" s="239" t="inlineStr">
        <is>
          <t>正常</t>
        </is>
      </c>
    </row>
    <row r="13">
      <c r="A13" t="inlineStr">
        <is>
          <t>其中：逾期应收</t>
        </is>
      </c>
      <c r="B13" s="225" t="n">
        <v>3000</v>
      </c>
      <c r="C13" t="inlineStr">
        <is>
          <t>4.4%</t>
        </is>
      </c>
      <c r="D13" t="inlineStr">
        <is>
          <t>60天以上</t>
        </is>
      </c>
      <c r="E13" s="240" t="inlineStr">
        <is>
          <t>关注</t>
        </is>
      </c>
    </row>
    <row r="14">
      <c r="A14" t="inlineStr">
        <is>
          <t>应付账款</t>
        </is>
      </c>
      <c r="B14" s="225" t="n">
        <v>8000</v>
      </c>
      <c r="C14" t="inlineStr">
        <is>
          <t>11.8%</t>
        </is>
      </c>
      <c r="D14" t="inlineStr">
        <is>
          <t>30天内</t>
        </is>
      </c>
      <c r="E14" s="239" t="inlineStr">
        <is>
          <t>正常</t>
        </is>
      </c>
    </row>
    <row r="15">
      <c r="A15" t="inlineStr">
        <is>
          <t>资金净额</t>
        </is>
      </c>
      <c r="B15" s="225" t="n">
        <v>7000</v>
      </c>
      <c r="C15" t="inlineStr">
        <is>
          <t>10.3%</t>
        </is>
      </c>
      <c r="D15" t="inlineStr">
        <is>
          <t>-</t>
        </is>
      </c>
      <c r="E15" t="inlineStr">
        <is>
          <t>-</t>
        </is>
      </c>
    </row>
    <row r="17">
      <c r="A17" s="241" t="inlineStr">
        <is>
          <t>三、本月收入成本趋势</t>
        </is>
      </c>
    </row>
    <row r="18">
      <c r="A18" s="242" t="inlineStr">
        <is>
          <t>日期</t>
        </is>
      </c>
      <c r="B18" s="242" t="inlineStr">
        <is>
          <t>加工收入</t>
        </is>
      </c>
      <c r="C18" s="242" t="inlineStr">
        <is>
          <t>材料成本</t>
        </is>
      </c>
      <c r="D18" s="242" t="inlineStr">
        <is>
          <t>人工成本</t>
        </is>
      </c>
      <c r="E18" s="242" t="inlineStr">
        <is>
          <t>费用</t>
        </is>
      </c>
      <c r="F18" s="242" t="inlineStr">
        <is>
          <t>毛利</t>
        </is>
      </c>
      <c r="G18" s="242" t="inlineStr">
        <is>
          <t>毛利率</t>
        </is>
      </c>
    </row>
    <row r="19">
      <c r="A19" t="inlineStr">
        <is>
          <t>1-5日</t>
        </is>
      </c>
      <c r="B19" s="225" t="n">
        <v>8000</v>
      </c>
      <c r="C19" s="225" t="n">
        <v>1500</v>
      </c>
      <c r="D19" s="225" t="n">
        <v>2000</v>
      </c>
      <c r="E19" s="225" t="n">
        <v>800</v>
      </c>
      <c r="F19" s="225" t="n">
        <v>3700</v>
      </c>
      <c r="G19" t="inlineStr">
        <is>
          <t>46.3%</t>
        </is>
      </c>
    </row>
    <row r="20">
      <c r="A20" t="inlineStr">
        <is>
          <t>6-10日</t>
        </is>
      </c>
      <c r="B20" s="225" t="n">
        <v>12000</v>
      </c>
      <c r="C20" s="225" t="n">
        <v>2200</v>
      </c>
      <c r="D20" s="225" t="n">
        <v>3000</v>
      </c>
      <c r="E20" s="225" t="n">
        <v>1200</v>
      </c>
      <c r="F20" s="225" t="n">
        <v>5600</v>
      </c>
      <c r="G20" t="inlineStr">
        <is>
          <t>46.7%</t>
        </is>
      </c>
    </row>
    <row r="21">
      <c r="A21" t="inlineStr">
        <is>
          <t>11-15日</t>
        </is>
      </c>
      <c r="B21" s="225" t="n">
        <v>15000</v>
      </c>
      <c r="C21" s="225" t="n">
        <v>2800</v>
      </c>
      <c r="D21" s="225" t="n">
        <v>3800</v>
      </c>
      <c r="E21" s="225" t="n">
        <v>1500</v>
      </c>
      <c r="F21" s="225" t="n">
        <v>6900</v>
      </c>
      <c r="G21" t="inlineStr">
        <is>
          <t>46.0%</t>
        </is>
      </c>
    </row>
    <row r="22">
      <c r="A22" t="inlineStr">
        <is>
          <t>16-20日</t>
        </is>
      </c>
      <c r="B22" s="225" t="n">
        <v>10000</v>
      </c>
      <c r="C22" s="225" t="n">
        <v>1800</v>
      </c>
      <c r="D22" s="225" t="n">
        <v>2500</v>
      </c>
      <c r="E22" s="225" t="n">
        <v>1000</v>
      </c>
      <c r="F22" s="225" t="n">
        <v>4700</v>
      </c>
      <c r="G22" t="inlineStr">
        <is>
          <t>47.0%</t>
        </is>
      </c>
    </row>
    <row r="23">
      <c r="A23" t="inlineStr">
        <is>
          <t>21-25日</t>
        </is>
      </c>
      <c r="B23" s="225" t="n">
        <v>13000</v>
      </c>
      <c r="C23" s="225" t="n">
        <v>2400</v>
      </c>
      <c r="D23" s="225" t="n">
        <v>3200</v>
      </c>
      <c r="E23" s="225" t="n">
        <v>1300</v>
      </c>
      <c r="F23" s="225" t="n">
        <v>6100</v>
      </c>
      <c r="G23" t="inlineStr">
        <is>
          <t>46.9%</t>
        </is>
      </c>
    </row>
    <row r="24">
      <c r="A24" t="inlineStr">
        <is>
          <t>26-31日</t>
        </is>
      </c>
      <c r="B24" s="225" t="n">
        <v>5000</v>
      </c>
      <c r="C24" s="225" t="n">
        <v>900</v>
      </c>
      <c r="D24" s="225" t="n">
        <v>1200</v>
      </c>
      <c r="E24" s="225" t="n">
        <v>500</v>
      </c>
      <c r="F24" s="225" t="n">
        <v>2400</v>
      </c>
      <c r="G24" t="inlineStr">
        <is>
          <t>48.0%</t>
        </is>
      </c>
    </row>
    <row r="25">
      <c r="A25" s="236" t="inlineStr">
        <is>
          <t>合计</t>
        </is>
      </c>
      <c r="B25" s="237" t="n">
        <v>63000</v>
      </c>
      <c r="C25" s="237" t="n">
        <v>11600</v>
      </c>
      <c r="D25" s="237" t="n">
        <v>15700</v>
      </c>
      <c r="E25" s="237" t="n">
        <v>6300</v>
      </c>
      <c r="F25" s="237" t="n">
        <v>29400</v>
      </c>
      <c r="G25" s="236" t="inlineStr">
        <is>
          <t>46.7%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style="96" min="1" max="1"/>
    <col width="20" customWidth="1" style="96" min="2" max="2"/>
    <col width="12" customWidth="1" style="96" min="3" max="3"/>
    <col width="30" customWidth="1" style="96" min="4" max="4"/>
  </cols>
  <sheetData>
    <row r="1">
      <c r="A1" s="234" t="inlineStr">
        <is>
          <t>科目代码</t>
        </is>
      </c>
    </row>
    <row r="2">
      <c r="A2" t="inlineStr">
        <is>
          <t>1001</t>
        </is>
      </c>
      <c r="B2" t="inlineStr">
        <is>
          <t>库存现金</t>
        </is>
      </c>
      <c r="C2" t="inlineStr">
        <is>
          <t>资产</t>
        </is>
      </c>
      <c r="D2" t="inlineStr">
        <is>
          <t>N银行/微信当现金用</t>
        </is>
      </c>
    </row>
    <row r="3">
      <c r="A3" t="inlineStr">
        <is>
          <t>1002</t>
        </is>
      </c>
      <c r="B3" t="inlineStr">
        <is>
          <t>银行存款</t>
        </is>
      </c>
      <c r="C3" t="inlineStr">
        <is>
          <t>资产</t>
        </is>
      </c>
      <c r="D3" t="inlineStr">
        <is>
          <t>G银行对公账户</t>
        </is>
      </c>
    </row>
    <row r="4">
      <c r="A4" t="inlineStr">
        <is>
          <t>1122</t>
        </is>
      </c>
      <c r="B4" t="inlineStr">
        <is>
          <t>应收账款</t>
        </is>
      </c>
      <c r="C4" t="inlineStr">
        <is>
          <t>资产</t>
        </is>
      </c>
      <c r="D4" t="inlineStr">
        <is>
          <t>客户欠款</t>
        </is>
      </c>
    </row>
    <row r="5">
      <c r="A5" t="inlineStr">
        <is>
          <t>1403</t>
        </is>
      </c>
      <c r="B5" t="inlineStr">
        <is>
          <t>原材料</t>
        </is>
      </c>
      <c r="C5" t="inlineStr">
        <is>
          <t>资产</t>
        </is>
      </c>
      <c r="D5" t="inlineStr">
        <is>
          <t>三酸、色粉等材料</t>
        </is>
      </c>
    </row>
    <row r="6">
      <c r="A6" t="inlineStr">
        <is>
          <t>1601</t>
        </is>
      </c>
      <c r="B6" t="inlineStr">
        <is>
          <t>固定资产</t>
        </is>
      </c>
      <c r="C6" t="inlineStr">
        <is>
          <t>资产</t>
        </is>
      </c>
      <c r="D6" t="inlineStr">
        <is>
          <t>设备、车辆等</t>
        </is>
      </c>
    </row>
    <row r="7">
      <c r="A7" t="inlineStr">
        <is>
          <t>2001</t>
        </is>
      </c>
      <c r="B7" t="inlineStr">
        <is>
          <t>短期借款</t>
        </is>
      </c>
      <c r="C7" t="inlineStr">
        <is>
          <t>负债</t>
        </is>
      </c>
      <c r="D7" t="inlineStr">
        <is>
          <t>银行借款</t>
        </is>
      </c>
    </row>
    <row r="8">
      <c r="A8" t="inlineStr">
        <is>
          <t>2202</t>
        </is>
      </c>
      <c r="B8" t="inlineStr">
        <is>
          <t>应付账款</t>
        </is>
      </c>
      <c r="C8" t="inlineStr">
        <is>
          <t>负债</t>
        </is>
      </c>
      <c r="D8" t="inlineStr">
        <is>
          <t>供应商欠款</t>
        </is>
      </c>
    </row>
    <row r="9">
      <c r="A9" t="inlineStr">
        <is>
          <t>2211</t>
        </is>
      </c>
      <c r="B9" t="inlineStr">
        <is>
          <t>应付职工薪酬</t>
        </is>
      </c>
      <c r="C9" t="inlineStr">
        <is>
          <t>负债</t>
        </is>
      </c>
      <c r="D9" t="inlineStr">
        <is>
          <t>工资、社保</t>
        </is>
      </c>
    </row>
    <row r="10">
      <c r="A10" t="inlineStr">
        <is>
          <t>2221</t>
        </is>
      </c>
      <c r="B10" t="inlineStr">
        <is>
          <t>应交税费</t>
        </is>
      </c>
      <c r="C10" t="inlineStr">
        <is>
          <t>负债</t>
        </is>
      </c>
      <c r="D10" t="inlineStr">
        <is>
          <t>增值税、所得税等</t>
        </is>
      </c>
    </row>
    <row r="11">
      <c r="A11" t="inlineStr">
        <is>
          <t>4001</t>
        </is>
      </c>
      <c r="B11" t="inlineStr">
        <is>
          <t>实收资本</t>
        </is>
      </c>
      <c r="C11" t="inlineStr">
        <is>
          <t>所有者权益</t>
        </is>
      </c>
      <c r="D11" t="inlineStr">
        <is>
          <t>股东投资</t>
        </is>
      </c>
    </row>
    <row r="12">
      <c r="A12" t="inlineStr">
        <is>
          <t>4103</t>
        </is>
      </c>
      <c r="B12" t="inlineStr">
        <is>
          <t>本年利润</t>
        </is>
      </c>
      <c r="C12" t="inlineStr">
        <is>
          <t>所有者权益</t>
        </is>
      </c>
      <c r="D12" t="inlineStr">
        <is>
          <t>当年利润</t>
        </is>
      </c>
    </row>
    <row r="13">
      <c r="A13" t="inlineStr">
        <is>
          <t>5001</t>
        </is>
      </c>
      <c r="B13" t="inlineStr">
        <is>
          <t>生产成本</t>
        </is>
      </c>
      <c r="C13" t="inlineStr">
        <is>
          <t>成本</t>
        </is>
      </c>
      <c r="D13" t="inlineStr">
        <is>
          <t>订单成本</t>
        </is>
      </c>
    </row>
    <row r="14">
      <c r="A14" t="inlineStr">
        <is>
          <t>5101</t>
        </is>
      </c>
      <c r="B14" t="inlineStr">
        <is>
          <t>制造费用</t>
        </is>
      </c>
      <c r="C14" t="inlineStr">
        <is>
          <t>成本</t>
        </is>
      </c>
      <c r="D14" t="inlineStr">
        <is>
          <t>间接费用</t>
        </is>
      </c>
    </row>
    <row r="15">
      <c r="A15" t="inlineStr">
        <is>
          <t>6001</t>
        </is>
      </c>
      <c r="B15" t="inlineStr">
        <is>
          <t>主营业务收入</t>
        </is>
      </c>
      <c r="C15" t="inlineStr">
        <is>
          <t>损益</t>
        </is>
      </c>
      <c r="D15" t="inlineStr">
        <is>
          <t>加工费收入</t>
        </is>
      </c>
    </row>
    <row r="16">
      <c r="A16" t="inlineStr">
        <is>
          <t>6051</t>
        </is>
      </c>
      <c r="B16" t="inlineStr">
        <is>
          <t>其他业务收入</t>
        </is>
      </c>
      <c r="C16" t="inlineStr">
        <is>
          <t>损益</t>
        </is>
      </c>
      <c r="D16" t="inlineStr">
        <is>
          <t>其他收入</t>
        </is>
      </c>
    </row>
    <row r="17">
      <c r="A17" t="inlineStr">
        <is>
          <t>6401</t>
        </is>
      </c>
      <c r="B17" t="inlineStr">
        <is>
          <t>主营业务成本</t>
        </is>
      </c>
      <c r="C17" t="inlineStr">
        <is>
          <t>损益</t>
        </is>
      </c>
      <c r="D17" t="inlineStr">
        <is>
          <t>材料、人工、费用</t>
        </is>
      </c>
    </row>
    <row r="18">
      <c r="A18" t="inlineStr">
        <is>
          <t>6601</t>
        </is>
      </c>
      <c r="B18" t="inlineStr">
        <is>
          <t>销售费用</t>
        </is>
      </c>
      <c r="C18" t="inlineStr">
        <is>
          <t>损益</t>
        </is>
      </c>
      <c r="D18" t="inlineStr">
        <is>
          <t>销售相关费用</t>
        </is>
      </c>
    </row>
    <row r="19">
      <c r="A19" t="inlineStr">
        <is>
          <t>6602</t>
        </is>
      </c>
      <c r="B19" t="inlineStr">
        <is>
          <t>管理费用</t>
        </is>
      </c>
      <c r="C19" t="inlineStr">
        <is>
          <t>损益</t>
        </is>
      </c>
      <c r="D19" t="inlineStr">
        <is>
          <t>管理相关费用</t>
        </is>
      </c>
    </row>
    <row r="20">
      <c r="A20" t="inlineStr">
        <is>
          <t>6603</t>
        </is>
      </c>
      <c r="B20" t="inlineStr">
        <is>
          <t>财务费用</t>
        </is>
      </c>
      <c r="C20" t="inlineStr">
        <is>
          <t>损益</t>
        </is>
      </c>
      <c r="D20" t="inlineStr">
        <is>
          <t>利息、手续费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2026-05-05T15:05:34Z</dcterms:created>
  <dcterms:modified xmlns:dcterms="http://purl.org/dc/terms/" xmlns:xsi="http://www.w3.org/2001/XMLSchema-instance" xsi:type="dcterms:W3CDTF">2026-05-06T04:41:42Z</dcterms:modified>
  <cp:revision>1</cp:revision>
</cp:coreProperties>
</file>